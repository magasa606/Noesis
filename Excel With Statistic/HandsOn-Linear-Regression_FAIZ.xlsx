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Kerjaan\Dibimbing.id\"/>
    </mc:Choice>
  </mc:AlternateContent>
  <xr:revisionPtr revIDLastSave="0" documentId="13_ncr:1_{B3A8D2DD-F237-43D5-BC90-CD6F87A283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ands On - Example" sheetId="1" r:id="rId1"/>
    <sheet name="Hands-On" sheetId="2" r:id="rId2"/>
    <sheet name="All Star Player Data" sheetId="3" r:id="rId3"/>
  </sheets>
  <definedNames>
    <definedName name="_xlchart.v1.0" hidden="1">'Hands-On'!$M$1</definedName>
    <definedName name="_xlchart.v1.1" hidden="1">'Hands-On'!$M$2:$M$31</definedName>
    <definedName name="_xlchart.v1.2" hidden="1">'All Star Player Data'!$O$1</definedName>
    <definedName name="_xlchart.v1.3" hidden="1">'All Star Player Data'!$O$2:$O$31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0" i="1" l="1"/>
  <c r="AC69" i="1"/>
  <c r="AC60" i="1"/>
  <c r="AC62" i="1" s="1"/>
  <c r="AC66" i="1" s="1"/>
  <c r="AC68" i="1" s="1"/>
  <c r="I33" i="3"/>
  <c r="I31" i="3"/>
  <c r="AA97" i="1"/>
  <c r="AA96" i="1"/>
  <c r="AA95" i="1"/>
  <c r="AA94" i="1"/>
  <c r="AA93" i="1"/>
  <c r="AA92" i="1"/>
  <c r="AA87" i="1"/>
  <c r="AA88" i="1"/>
  <c r="AA86" i="1"/>
  <c r="AA78" i="1" a="1"/>
  <c r="AA78" i="1" s="1"/>
  <c r="I26" i="3"/>
  <c r="X5" i="3"/>
  <c r="H20" i="3" a="1"/>
  <c r="H20" i="3" s="1"/>
  <c r="N7" i="3" s="1"/>
  <c r="G13" i="3"/>
  <c r="G12" i="3"/>
  <c r="G11" i="3"/>
  <c r="S33" i="2"/>
  <c r="S32" i="2"/>
  <c r="S3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2" i="2"/>
  <c r="F26" i="2"/>
  <c r="S27" i="2"/>
  <c r="S26" i="2"/>
  <c r="S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L30" i="2"/>
  <c r="L3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2" i="2"/>
  <c r="G20" i="2" a="1"/>
  <c r="G20" i="2" s="1"/>
  <c r="H9" i="2"/>
  <c r="H8" i="2"/>
  <c r="H7" i="2"/>
  <c r="AC67" i="1"/>
  <c r="AC65" i="1"/>
  <c r="AC64" i="1"/>
  <c r="AC61" i="1"/>
  <c r="AC63" i="1"/>
  <c r="AA2" i="1"/>
  <c r="AC59" i="1"/>
  <c r="AC58" i="1"/>
  <c r="AC52" i="1"/>
  <c r="AC53" i="1" s="1"/>
  <c r="AD43" i="1"/>
  <c r="AD42" i="1"/>
  <c r="H9" i="1"/>
  <c r="H8" i="1"/>
  <c r="H7" i="1"/>
  <c r="P2" i="1" a="1"/>
  <c r="P4" i="1" s="1"/>
  <c r="P10" i="1" s="1"/>
  <c r="AB93" i="1"/>
  <c r="AD68" i="1"/>
  <c r="AD64" i="1"/>
  <c r="AB95" i="1"/>
  <c r="AB92" i="1"/>
  <c r="AB86" i="1"/>
  <c r="AD70" i="1"/>
  <c r="AD60" i="1"/>
  <c r="AD61" i="1"/>
  <c r="AD66" i="1"/>
  <c r="AD59" i="1"/>
  <c r="AB97" i="1"/>
  <c r="AB94" i="1"/>
  <c r="AF52" i="1"/>
  <c r="AD63" i="1"/>
  <c r="AD62" i="1"/>
  <c r="AB88" i="1"/>
  <c r="AF53" i="1"/>
  <c r="AB96" i="1"/>
  <c r="AD58" i="1"/>
  <c r="AB87" i="1"/>
  <c r="AD65" i="1"/>
  <c r="AD67" i="1"/>
  <c r="AD69" i="1"/>
  <c r="S7" i="3" l="1"/>
  <c r="O7" i="3"/>
  <c r="N30" i="3"/>
  <c r="N18" i="3"/>
  <c r="N6" i="3"/>
  <c r="N29" i="3"/>
  <c r="N17" i="3"/>
  <c r="N5" i="3"/>
  <c r="N4" i="3"/>
  <c r="N27" i="3"/>
  <c r="N15" i="3"/>
  <c r="N3" i="3"/>
  <c r="X35" i="3"/>
  <c r="N26" i="3"/>
  <c r="N14" i="3"/>
  <c r="N13" i="3"/>
  <c r="N24" i="3"/>
  <c r="N12" i="3"/>
  <c r="N28" i="3"/>
  <c r="N16" i="3"/>
  <c r="N25" i="3"/>
  <c r="N22" i="3"/>
  <c r="N10" i="3"/>
  <c r="N21" i="3"/>
  <c r="I35" i="3"/>
  <c r="N23" i="3"/>
  <c r="N11" i="3"/>
  <c r="N9" i="3"/>
  <c r="N2" i="3"/>
  <c r="N20" i="3"/>
  <c r="N8" i="3"/>
  <c r="N31" i="3"/>
  <c r="N19" i="3"/>
  <c r="P5" i="1"/>
  <c r="Q5" i="1"/>
  <c r="P6" i="1"/>
  <c r="Q4" i="1"/>
  <c r="Q6" i="1"/>
  <c r="Q2" i="1"/>
  <c r="S8" i="1" s="1"/>
  <c r="P3" i="1"/>
  <c r="P2" i="1"/>
  <c r="Q8" i="1" s="1"/>
  <c r="Q3" i="1"/>
  <c r="O27" i="3" l="1"/>
  <c r="S27" i="3"/>
  <c r="S21" i="3"/>
  <c r="O21" i="3"/>
  <c r="O10" i="3"/>
  <c r="S10" i="3"/>
  <c r="S22" i="3"/>
  <c r="O22" i="3"/>
  <c r="O4" i="3"/>
  <c r="S4" i="3"/>
  <c r="S5" i="3"/>
  <c r="O5" i="3"/>
  <c r="O28" i="3"/>
  <c r="S28" i="3"/>
  <c r="S12" i="3"/>
  <c r="O12" i="3"/>
  <c r="S2" i="3"/>
  <c r="O2" i="3"/>
  <c r="S24" i="3"/>
  <c r="O24" i="3"/>
  <c r="S6" i="3"/>
  <c r="O6" i="3"/>
  <c r="S9" i="3"/>
  <c r="O9" i="3"/>
  <c r="O13" i="3"/>
  <c r="S13" i="3"/>
  <c r="S18" i="3"/>
  <c r="O18" i="3"/>
  <c r="O25" i="3"/>
  <c r="S25" i="3"/>
  <c r="S31" i="3"/>
  <c r="O31" i="3"/>
  <c r="S17" i="3"/>
  <c r="O17" i="3"/>
  <c r="S29" i="3"/>
  <c r="O29" i="3"/>
  <c r="S11" i="3"/>
  <c r="O11" i="3"/>
  <c r="S30" i="3"/>
  <c r="O30" i="3"/>
  <c r="S23" i="3"/>
  <c r="O23" i="3"/>
  <c r="O26" i="3"/>
  <c r="S26" i="3"/>
  <c r="R7" i="3"/>
  <c r="P7" i="3"/>
  <c r="Q7" i="3" s="1"/>
  <c r="O3" i="3"/>
  <c r="S3" i="3"/>
  <c r="O15" i="3"/>
  <c r="S15" i="3"/>
  <c r="S19" i="3"/>
  <c r="O19" i="3"/>
  <c r="O16" i="3"/>
  <c r="S16" i="3"/>
  <c r="S8" i="3"/>
  <c r="O8" i="3"/>
  <c r="S20" i="3"/>
  <c r="O20" i="3"/>
  <c r="O14" i="3"/>
  <c r="S14" i="3"/>
  <c r="W38" i="1"/>
  <c r="X38" i="1" s="1"/>
  <c r="W26" i="1"/>
  <c r="X26" i="1" s="1"/>
  <c r="W47" i="1"/>
  <c r="X47" i="1" s="1"/>
  <c r="W33" i="1"/>
  <c r="X33" i="1" s="1"/>
  <c r="W21" i="1"/>
  <c r="X21" i="1" s="1"/>
  <c r="W40" i="1"/>
  <c r="X40" i="1" s="1"/>
  <c r="W28" i="1"/>
  <c r="X28" i="1" s="1"/>
  <c r="W14" i="1"/>
  <c r="X14" i="1" s="1"/>
  <c r="W49" i="1"/>
  <c r="X49" i="1" s="1"/>
  <c r="W35" i="1"/>
  <c r="X35" i="1" s="1"/>
  <c r="W48" i="1"/>
  <c r="X48" i="1" s="1"/>
  <c r="W34" i="1"/>
  <c r="X34" i="1" s="1"/>
  <c r="W22" i="1"/>
  <c r="X22" i="1" s="1"/>
  <c r="W2" i="1"/>
  <c r="X2" i="1" s="1"/>
  <c r="W23" i="1"/>
  <c r="X23" i="1" s="1"/>
  <c r="W3" i="1"/>
  <c r="X3" i="1" s="1"/>
  <c r="W18" i="1"/>
  <c r="X18" i="1" s="1"/>
  <c r="W5" i="1"/>
  <c r="X5" i="1" s="1"/>
  <c r="W46" i="1"/>
  <c r="X46" i="1" s="1"/>
  <c r="W32" i="1"/>
  <c r="X32" i="1" s="1"/>
  <c r="W7" i="1"/>
  <c r="X7" i="1" s="1"/>
  <c r="W44" i="1"/>
  <c r="X44" i="1" s="1"/>
  <c r="W42" i="1"/>
  <c r="X42" i="1" s="1"/>
  <c r="W30" i="1"/>
  <c r="X30" i="1" s="1"/>
  <c r="W16" i="1"/>
  <c r="X16" i="1" s="1"/>
  <c r="W9" i="1"/>
  <c r="X9" i="1" s="1"/>
  <c r="W37" i="1"/>
  <c r="X37" i="1" s="1"/>
  <c r="W25" i="1"/>
  <c r="X25" i="1" s="1"/>
  <c r="W11" i="1"/>
  <c r="X11" i="1" s="1"/>
  <c r="W39" i="1"/>
  <c r="X39" i="1" s="1"/>
  <c r="W27" i="1"/>
  <c r="X27" i="1" s="1"/>
  <c r="W13" i="1"/>
  <c r="X13" i="1" s="1"/>
  <c r="W51" i="1"/>
  <c r="X51" i="1" s="1"/>
  <c r="W41" i="1"/>
  <c r="X41" i="1" s="1"/>
  <c r="W29" i="1"/>
  <c r="X29" i="1" s="1"/>
  <c r="W15" i="1"/>
  <c r="X15" i="1" s="1"/>
  <c r="W31" i="1"/>
  <c r="X31" i="1" s="1"/>
  <c r="W19" i="1"/>
  <c r="X19" i="1" s="1"/>
  <c r="W17" i="1"/>
  <c r="X17" i="1" s="1"/>
  <c r="W6" i="1"/>
  <c r="X6" i="1" s="1"/>
  <c r="W20" i="1"/>
  <c r="X20" i="1" s="1"/>
  <c r="W50" i="1"/>
  <c r="X50" i="1" s="1"/>
  <c r="W43" i="1"/>
  <c r="X43" i="1" s="1"/>
  <c r="W36" i="1"/>
  <c r="X36" i="1" s="1"/>
  <c r="W24" i="1"/>
  <c r="X24" i="1" s="1"/>
  <c r="W10" i="1"/>
  <c r="X10" i="1" s="1"/>
  <c r="W4" i="1"/>
  <c r="X4" i="1" s="1"/>
  <c r="W45" i="1"/>
  <c r="X45" i="1" s="1"/>
  <c r="W8" i="1"/>
  <c r="X8" i="1" s="1"/>
  <c r="W12" i="1"/>
  <c r="X12" i="1" s="1"/>
  <c r="R3" i="3" l="1"/>
  <c r="P3" i="3"/>
  <c r="Q3" i="3" s="1"/>
  <c r="R5" i="3"/>
  <c r="P5" i="3"/>
  <c r="Q5" i="3" s="1"/>
  <c r="R17" i="3"/>
  <c r="P17" i="3"/>
  <c r="Q17" i="3" s="1"/>
  <c r="R23" i="3"/>
  <c r="P23" i="3"/>
  <c r="Q23" i="3" s="1"/>
  <c r="R2" i="3"/>
  <c r="P2" i="3"/>
  <c r="Q2" i="3" s="1"/>
  <c r="X26" i="3" s="1"/>
  <c r="R8" i="3"/>
  <c r="P8" i="3"/>
  <c r="Q8" i="3" s="1"/>
  <c r="R31" i="3"/>
  <c r="P31" i="3"/>
  <c r="Q31" i="3" s="1"/>
  <c r="R24" i="3"/>
  <c r="P24" i="3"/>
  <c r="Q24" i="3" s="1"/>
  <c r="R16" i="3"/>
  <c r="P16" i="3"/>
  <c r="Q16" i="3" s="1"/>
  <c r="R25" i="3"/>
  <c r="P25" i="3"/>
  <c r="Q25" i="3" s="1"/>
  <c r="R10" i="3"/>
  <c r="P10" i="3"/>
  <c r="Q10" i="3" s="1"/>
  <c r="R19" i="3"/>
  <c r="P19" i="3"/>
  <c r="Q19" i="3" s="1"/>
  <c r="R30" i="3"/>
  <c r="P30" i="3"/>
  <c r="Q30" i="3" s="1"/>
  <c r="R18" i="3"/>
  <c r="P18" i="3"/>
  <c r="Q18" i="3" s="1"/>
  <c r="R12" i="3"/>
  <c r="P12" i="3"/>
  <c r="Q12" i="3" s="1"/>
  <c r="P21" i="3"/>
  <c r="Q21" i="3" s="1"/>
  <c r="R21" i="3"/>
  <c r="R29" i="3"/>
  <c r="P29" i="3"/>
  <c r="Q29" i="3" s="1"/>
  <c r="P9" i="3"/>
  <c r="Q9" i="3" s="1"/>
  <c r="R9" i="3"/>
  <c r="R14" i="3"/>
  <c r="P14" i="3"/>
  <c r="Q14" i="3" s="1"/>
  <c r="R20" i="3"/>
  <c r="P20" i="3"/>
  <c r="Q20" i="3" s="1"/>
  <c r="R6" i="3"/>
  <c r="P6" i="3"/>
  <c r="Q6" i="3" s="1"/>
  <c r="R4" i="3"/>
  <c r="P4" i="3"/>
  <c r="Q4" i="3" s="1"/>
  <c r="R22" i="3"/>
  <c r="P22" i="3"/>
  <c r="Q22" i="3" s="1"/>
  <c r="R26" i="3"/>
  <c r="P26" i="3"/>
  <c r="Q26" i="3" s="1"/>
  <c r="R11" i="3"/>
  <c r="P11" i="3"/>
  <c r="Q11" i="3" s="1"/>
  <c r="R15" i="3"/>
  <c r="P15" i="3"/>
  <c r="Q15" i="3" s="1"/>
  <c r="R13" i="3"/>
  <c r="P13" i="3"/>
  <c r="Q13" i="3" s="1"/>
  <c r="R28" i="3"/>
  <c r="P28" i="3"/>
  <c r="Q28" i="3" s="1"/>
  <c r="R27" i="3"/>
  <c r="P27" i="3"/>
  <c r="Q27" i="3" s="1"/>
  <c r="AA30" i="1"/>
  <c r="Y30" i="1"/>
  <c r="Z30" i="1" s="1"/>
  <c r="Y4" i="1"/>
  <c r="Z4" i="1" s="1"/>
  <c r="AA4" i="1"/>
  <c r="Y10" i="1"/>
  <c r="Z10" i="1" s="1"/>
  <c r="AA10" i="1"/>
  <c r="Y24" i="1"/>
  <c r="Z24" i="1" s="1"/>
  <c r="AA24" i="1"/>
  <c r="Y28" i="1"/>
  <c r="Z28" i="1" s="1"/>
  <c r="AA28" i="1"/>
  <c r="AA34" i="1"/>
  <c r="Y34" i="1"/>
  <c r="Z34" i="1" s="1"/>
  <c r="Y49" i="1"/>
  <c r="Z49" i="1" s="1"/>
  <c r="AA49" i="1"/>
  <c r="Y14" i="1"/>
  <c r="Z14" i="1" s="1"/>
  <c r="AA14" i="1"/>
  <c r="AA33" i="1"/>
  <c r="Y33" i="1"/>
  <c r="Z33" i="1" s="1"/>
  <c r="AA15" i="1"/>
  <c r="Y15" i="1"/>
  <c r="Z15" i="1" s="1"/>
  <c r="AA29" i="1"/>
  <c r="Y29" i="1"/>
  <c r="Z29" i="1" s="1"/>
  <c r="Y35" i="1"/>
  <c r="Z35" i="1" s="1"/>
  <c r="AA35" i="1"/>
  <c r="AA47" i="1"/>
  <c r="Y47" i="1"/>
  <c r="Z47" i="1" s="1"/>
  <c r="AA45" i="1"/>
  <c r="Y45" i="1"/>
  <c r="Z45" i="1" s="1"/>
  <c r="AA42" i="1"/>
  <c r="Y42" i="1"/>
  <c r="Z42" i="1" s="1"/>
  <c r="AA41" i="1"/>
  <c r="Y41" i="1"/>
  <c r="Z41" i="1" s="1"/>
  <c r="AA44" i="1"/>
  <c r="Y44" i="1"/>
  <c r="Z44" i="1" s="1"/>
  <c r="AA7" i="1"/>
  <c r="Y7" i="1"/>
  <c r="Z7" i="1" s="1"/>
  <c r="AA32" i="1"/>
  <c r="Y32" i="1"/>
  <c r="Z32" i="1" s="1"/>
  <c r="AA43" i="1"/>
  <c r="Y43" i="1"/>
  <c r="Z43" i="1" s="1"/>
  <c r="AA46" i="1"/>
  <c r="Y46" i="1"/>
  <c r="Z46" i="1" s="1"/>
  <c r="AA39" i="1"/>
  <c r="Y39" i="1"/>
  <c r="Z39" i="1" s="1"/>
  <c r="Y40" i="1"/>
  <c r="Z40" i="1" s="1"/>
  <c r="AA40" i="1"/>
  <c r="AA20" i="1"/>
  <c r="Y20" i="1"/>
  <c r="Z20" i="1" s="1"/>
  <c r="AA11" i="1"/>
  <c r="Y11" i="1"/>
  <c r="Z11" i="1" s="1"/>
  <c r="AA18" i="1"/>
  <c r="Y18" i="1"/>
  <c r="Z18" i="1" s="1"/>
  <c r="AA3" i="1"/>
  <c r="Y3" i="1"/>
  <c r="Z3" i="1" s="1"/>
  <c r="AA37" i="1"/>
  <c r="Y37" i="1"/>
  <c r="Z37" i="1" s="1"/>
  <c r="AA12" i="1"/>
  <c r="Y12" i="1"/>
  <c r="Z12" i="1" s="1"/>
  <c r="AA19" i="1"/>
  <c r="Y19" i="1"/>
  <c r="Z19" i="1" s="1"/>
  <c r="Y9" i="1"/>
  <c r="Z9" i="1" s="1"/>
  <c r="AA9" i="1"/>
  <c r="Y2" i="1"/>
  <c r="Z2" i="1" s="1"/>
  <c r="AA26" i="1"/>
  <c r="Y26" i="1"/>
  <c r="Z26" i="1" s="1"/>
  <c r="AA48" i="1"/>
  <c r="Y48" i="1"/>
  <c r="Z48" i="1" s="1"/>
  <c r="AA51" i="1"/>
  <c r="Y51" i="1"/>
  <c r="Z51" i="1" s="1"/>
  <c r="Y36" i="1"/>
  <c r="Z36" i="1" s="1"/>
  <c r="AA36" i="1"/>
  <c r="AA13" i="1"/>
  <c r="Y13" i="1"/>
  <c r="Z13" i="1" s="1"/>
  <c r="AA27" i="1"/>
  <c r="Y27" i="1"/>
  <c r="Z27" i="1" s="1"/>
  <c r="AA50" i="1"/>
  <c r="Y50" i="1"/>
  <c r="Z50" i="1" s="1"/>
  <c r="Y5" i="1"/>
  <c r="Z5" i="1" s="1"/>
  <c r="AA5" i="1"/>
  <c r="AA21" i="1"/>
  <c r="Y21" i="1"/>
  <c r="Z21" i="1" s="1"/>
  <c r="AA6" i="1"/>
  <c r="Y6" i="1"/>
  <c r="Z6" i="1" s="1"/>
  <c r="AA25" i="1"/>
  <c r="Y25" i="1"/>
  <c r="Z25" i="1" s="1"/>
  <c r="AA17" i="1"/>
  <c r="Y17" i="1"/>
  <c r="Z17" i="1" s="1"/>
  <c r="Y23" i="1"/>
  <c r="Z23" i="1" s="1"/>
  <c r="AA23" i="1"/>
  <c r="AA8" i="1"/>
  <c r="Y8" i="1"/>
  <c r="Z8" i="1" s="1"/>
  <c r="AA31" i="1"/>
  <c r="Y31" i="1"/>
  <c r="Z31" i="1" s="1"/>
  <c r="Y16" i="1"/>
  <c r="Z16" i="1" s="1"/>
  <c r="AA16" i="1"/>
  <c r="AA22" i="1"/>
  <c r="Y22" i="1"/>
  <c r="Z22" i="1" s="1"/>
  <c r="AA38" i="1"/>
  <c r="Y38" i="1"/>
  <c r="Z38" i="1" s="1"/>
  <c r="X27" i="3" l="1"/>
  <c r="I30" i="3"/>
  <c r="I32" i="3" s="1"/>
  <c r="I34" i="3" s="1"/>
  <c r="X29" i="3"/>
  <c r="X30" i="3" s="1"/>
  <c r="X31" i="3" s="1"/>
  <c r="AD18" i="1"/>
  <c r="AD17" i="1"/>
  <c r="W37" i="3" l="1"/>
  <c r="W39" i="3"/>
  <c r="I37" i="3"/>
  <c r="I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<sst xmlns="http://schemas.openxmlformats.org/spreadsheetml/2006/main" count="368" uniqueCount="237">
  <si>
    <t>R&amp;D Spend</t>
  </si>
  <si>
    <t>Administration</t>
  </si>
  <si>
    <t>Marketing Spend</t>
  </si>
  <si>
    <t>State</t>
  </si>
  <si>
    <t>Profit</t>
  </si>
  <si>
    <t>data regresi</t>
  </si>
  <si>
    <t>slope (b1)</t>
  </si>
  <si>
    <t>intercept (b0)</t>
  </si>
  <si>
    <t>profit predicted</t>
  </si>
  <si>
    <t>absolut residual</t>
  </si>
  <si>
    <t>Lakukan Uji Asumsi</t>
  </si>
  <si>
    <t>New York</t>
  </si>
  <si>
    <t>Membuat Model Regresi</t>
  </si>
  <si>
    <t>asumsi 1</t>
  </si>
  <si>
    <t>apakah terdapat korelasi?</t>
  </si>
  <si>
    <t>California</t>
  </si>
  <si>
    <t>standard error</t>
  </si>
  <si>
    <t>korelasi</t>
  </si>
  <si>
    <t>Florida</t>
  </si>
  <si>
    <t>Evaluasi Model Menggunakan RMSE dan MAPE</t>
  </si>
  <si>
    <t>r square</t>
  </si>
  <si>
    <t>konklusi</t>
  </si>
  <si>
    <t>terdapat korelasi yang sangat kuat antara rnd spend sama profit</t>
  </si>
  <si>
    <t>Untuk mengejar profit 250,000 harus apa?</t>
  </si>
  <si>
    <t>f stat</t>
  </si>
  <si>
    <t>asumsi 1 dipenuhi</t>
  </si>
  <si>
    <t>cek korelasi variabel</t>
  </si>
  <si>
    <t>profit</t>
  </si>
  <si>
    <t>-&gt; dipake buat ngitung RMSE</t>
  </si>
  <si>
    <t>asumsi 2</t>
  </si>
  <si>
    <t>residual berdistribusi normal</t>
  </si>
  <si>
    <t>korelasi yang kuat thd profit</t>
  </si>
  <si>
    <t>y = b1x + b0</t>
  </si>
  <si>
    <t>ga ada</t>
  </si>
  <si>
    <t>model regresi linear</t>
  </si>
  <si>
    <t>y =</t>
  </si>
  <si>
    <t>x</t>
  </si>
  <si>
    <t>asumsi 2 dipenuhi</t>
  </si>
  <si>
    <t>cukup kuat</t>
  </si>
  <si>
    <t>koefisien determinasi</t>
  </si>
  <si>
    <t>rentang korelasi</t>
  </si>
  <si>
    <t>sampai</t>
  </si>
  <si>
    <t>standar umum r square dikatakan cukup bagus</t>
  </si>
  <si>
    <t>&gt;= 0.8</t>
  </si>
  <si>
    <t>0.8 - 1</t>
  </si>
  <si>
    <t>sangat kuat / kuat</t>
  </si>
  <si>
    <t>skip kalo dibawah</t>
  </si>
  <si>
    <t>asumsi 3</t>
  </si>
  <si>
    <t>variansi konstan (homoskedastik)</t>
  </si>
  <si>
    <t>0.65 - 0.8</t>
  </si>
  <si>
    <t>conclusion</t>
  </si>
  <si>
    <t>model regresi linear yang dibangun dari sisi rsquare (kemampuan merepresentasikan data sesungguhnya)</t>
  </si>
  <si>
    <t>asumsi 3 juga dipenuhi</t>
  </si>
  <si>
    <t>&lt; 0.5</t>
  </si>
  <si>
    <t>kurang ada hub linear</t>
  </si>
  <si>
    <t>sudah cukup bagus</t>
  </si>
  <si>
    <t>-0.8 sampai -1</t>
  </si>
  <si>
    <t>sangat kuat</t>
  </si>
  <si>
    <t>cek parameter</t>
  </si>
  <si>
    <t>-0.65 sampai -0.8</t>
  </si>
  <si>
    <t>MAPE</t>
  </si>
  <si>
    <t>RMSE</t>
  </si>
  <si>
    <t>akar dari rata rata dari residual kuadrat</t>
  </si>
  <si>
    <t>rekap :</t>
  </si>
  <si>
    <t>asumsi 3 dipenuhi</t>
  </si>
  <si>
    <t>r square ok</t>
  </si>
  <si>
    <t>MAPE lebih dari 10%</t>
  </si>
  <si>
    <t>kurang ok</t>
  </si>
  <si>
    <t>skor</t>
  </si>
  <si>
    <t>dengan mempertimbangkan parameter2 dan asumsi yang dibutuhkan dalam model regresi linear, model sudah cukup baik untuk memprediksi profit dengan menggunakan prediktor (x) : rnd spend</t>
  </si>
  <si>
    <t>data pertama</t>
  </si>
  <si>
    <t>profit asli</t>
  </si>
  <si>
    <t>confidence interval</t>
  </si>
  <si>
    <t>batas bawah</t>
  </si>
  <si>
    <t>batas atas</t>
  </si>
  <si>
    <t>untuk profit</t>
  </si>
  <si>
    <t>kita harus apa?</t>
  </si>
  <si>
    <t>y 250.000</t>
  </si>
  <si>
    <t>x ?</t>
  </si>
  <si>
    <t>250,000 =</t>
  </si>
  <si>
    <t>0.854291370938809 x</t>
  </si>
  <si>
    <t>kedua ruas dibagi</t>
  </si>
  <si>
    <t>untuk mendapatkan profit 250,000</t>
  </si>
  <si>
    <t>dengan menggunakan model regresi linear yang sudah dibangun dan sudah dievaluasi</t>
  </si>
  <si>
    <t>maka kita harus mengeluarkan biaya rnd spend sebesar</t>
  </si>
  <si>
    <t>age</t>
  </si>
  <si>
    <t>height</t>
  </si>
  <si>
    <t>weight</t>
  </si>
  <si>
    <t>face width</t>
  </si>
  <si>
    <t>appearance</t>
  </si>
  <si>
    <t>assist</t>
  </si>
  <si>
    <t>salary</t>
  </si>
  <si>
    <t>Untuk mendapat salary 100,000 itu butuh apa?</t>
  </si>
  <si>
    <t>y = Hasil Predictor</t>
  </si>
  <si>
    <t>STEP 2</t>
  </si>
  <si>
    <t>STEP 3</t>
  </si>
  <si>
    <t>rata-rata dari error ratio</t>
  </si>
  <si>
    <t>R n D spend data 1</t>
  </si>
  <si>
    <t>ditambah ( + )</t>
  </si>
  <si>
    <t xml:space="preserve"> ((Ekspetasi Prediksi - Konstanta) / Koefisien))</t>
  </si>
  <si>
    <t>HASILNYA IALAH DI KIRI INI</t>
  </si>
  <si>
    <t>Konklusi</t>
  </si>
  <si>
    <t>goal scored</t>
  </si>
  <si>
    <t>kedua ruas dikurangi</t>
  </si>
  <si>
    <t>SOAL :</t>
  </si>
  <si>
    <t>coefficient X-Slope</t>
  </si>
  <si>
    <t>coefficient Y-Intercept</t>
  </si>
  <si>
    <t>standard error Y-Intercept</t>
  </si>
  <si>
    <t>R square Model</t>
  </si>
  <si>
    <t>sum of square regression (SSR)</t>
  </si>
  <si>
    <t>sum of square residual (SSE)</t>
  </si>
  <si>
    <t>degree of freedom (n-2) untuk t-Student</t>
  </si>
  <si>
    <t>RMSE / STANDARD ERROR REGRESSION</t>
  </si>
  <si>
    <t>residual atau error / sisa variasi</t>
  </si>
  <si>
    <t>Absolute error ratio</t>
  </si>
  <si>
    <t>residual^2 / SSE</t>
  </si>
  <si>
    <t>SSE</t>
  </si>
  <si>
    <t>RUMUS-NYA</t>
  </si>
  <si>
    <t>1. Total Average RnD</t>
  </si>
  <si>
    <t>4. n =</t>
  </si>
  <si>
    <t>5. Variabilitas datanya =</t>
  </si>
  <si>
    <t>6. SSE =</t>
  </si>
  <si>
    <t>`6. s =</t>
  </si>
  <si>
    <t>`6. Cara lain dapat s =</t>
  </si>
  <si>
    <t>7. SE =</t>
  </si>
  <si>
    <t>8. T-Student =</t>
  </si>
  <si>
    <t>9. MOE =</t>
  </si>
  <si>
    <t>10. Batas Bawah =</t>
  </si>
  <si>
    <t>10. Batas Atas =</t>
  </si>
  <si>
    <t>CEK KORELASI</t>
  </si>
  <si>
    <t>AGE with FACE WIDTH</t>
  </si>
  <si>
    <t>VARIABLES</t>
  </si>
  <si>
    <t>HEIGHT with FACE WIDTH</t>
  </si>
  <si>
    <t>WEIGHT with FACE WIDTH</t>
  </si>
  <si>
    <t>&lt; - 0.5</t>
  </si>
  <si>
    <t>Kurang ada hub liniear</t>
  </si>
  <si>
    <t>Kuat</t>
  </si>
  <si>
    <t>Kurang Ada Hub Linier</t>
  </si>
  <si>
    <t>Cukup Kuat</t>
  </si>
  <si>
    <t>Sangat Kuat</t>
  </si>
  <si>
    <t>Kurang Ada Hub Linear</t>
  </si>
  <si>
    <t>Sangat Kuat / Kuat</t>
  </si>
  <si>
    <t>Sampai</t>
  </si>
  <si>
    <t>Intercept (b0) - Y Intercept</t>
  </si>
  <si>
    <t>Slope (b1) - X Slope</t>
  </si>
  <si>
    <t>Standard Error</t>
  </si>
  <si>
    <t>Standard Error - Y Intercept</t>
  </si>
  <si>
    <t>R-SQUARE</t>
  </si>
  <si>
    <t>F-STAT</t>
  </si>
  <si>
    <t>DEGREE OF FREEDOM</t>
  </si>
  <si>
    <t>SSR</t>
  </si>
  <si>
    <t xml:space="preserve">HASIL LINEST </t>
  </si>
  <si>
    <t>FACE WIDTH PREDICTED</t>
  </si>
  <si>
    <t>RESIDUAL WITH ACTUAL</t>
  </si>
  <si>
    <t>ABSOLUTE RESIDUAL</t>
  </si>
  <si>
    <t>ABSOLUTE ERROR RATIO</t>
  </si>
  <si>
    <t>RESIDUAL ^ 2 / SSE</t>
  </si>
  <si>
    <t>UJI ASUMSI</t>
  </si>
  <si>
    <t>UJI ASUMSI 1</t>
  </si>
  <si>
    <t>APAKAH TERDAPAT KORELASI ?</t>
  </si>
  <si>
    <t>Cukup Kuat Age Dgn Face Width</t>
  </si>
  <si>
    <t>DIPENUHI</t>
  </si>
  <si>
    <t>UJI ASUMSI 2</t>
  </si>
  <si>
    <t>APAKAH RESIDUAL TERDISTRIBUSI NORMAL ?</t>
  </si>
  <si>
    <t xml:space="preserve">TIDAK DIPENUHI </t>
  </si>
  <si>
    <t xml:space="preserve">(RIGHT SKEWED) </t>
  </si>
  <si>
    <t>UJI ASUMSI 3</t>
  </si>
  <si>
    <t>APAKAH VARIANSI KONSTAN ?</t>
  </si>
  <si>
    <t>TIDAK DIPENUHI</t>
  </si>
  <si>
    <t>HETEROSKEDASTIK</t>
  </si>
  <si>
    <t xml:space="preserve">UJI ASUMSI 4 </t>
  </si>
  <si>
    <t>MAPE KURANG DARI 10 %</t>
  </si>
  <si>
    <t>R-SQUARE &lt;= 80 %</t>
  </si>
  <si>
    <t>UJI ASUMSI 5</t>
  </si>
  <si>
    <t>SKOR</t>
  </si>
  <si>
    <t>3 (Terpenuhi ) - 2 (Tidak Terpenuhi)</t>
  </si>
  <si>
    <t>Average Y</t>
  </si>
  <si>
    <t xml:space="preserve">SST </t>
  </si>
  <si>
    <t>R- SQUARE</t>
  </si>
  <si>
    <t>SISANYA DARI R-SQUARE</t>
  </si>
  <si>
    <t>TIDAK DAPAT DIJELASKAN DARI MODEL</t>
  </si>
  <si>
    <t>APPEARANCE</t>
  </si>
  <si>
    <t>GOAL SCORED</t>
  </si>
  <si>
    <t>ASSIST</t>
  </si>
  <si>
    <t>RULES</t>
  </si>
  <si>
    <t>KURANG ADA HUB LINIER</t>
  </si>
  <si>
    <t>KONKLUSI</t>
  </si>
  <si>
    <t>POSITIF KUAT</t>
  </si>
  <si>
    <t>POSITIF CUKUP KUAT</t>
  </si>
  <si>
    <t>NEGATIF KUAT</t>
  </si>
  <si>
    <t>NEGATIF CUKUP KUAT</t>
  </si>
  <si>
    <t>VARIABEL</t>
  </si>
  <si>
    <t>STANDARD ERROR</t>
  </si>
  <si>
    <t>STANDARD ERROR Y-INTERCEPT</t>
  </si>
  <si>
    <t>Goal scored (Actual)</t>
  </si>
  <si>
    <t>Salary (Actual)</t>
  </si>
  <si>
    <t xml:space="preserve">Salary Predicted </t>
  </si>
  <si>
    <t>SLOPE - b1 / X-SLOPE</t>
  </si>
  <si>
    <t>INTERCEPT -b0 / Y -INTERCEPT</t>
  </si>
  <si>
    <t xml:space="preserve">RESIDUAL ERROR </t>
  </si>
  <si>
    <t xml:space="preserve">ABSOLUTE RESIDUAL ERROR </t>
  </si>
  <si>
    <t>ABSOLUTE  ERROR RATIO</t>
  </si>
  <si>
    <t>RESIDUAL ^2 / SSE</t>
  </si>
  <si>
    <t>HASIL</t>
  </si>
  <si>
    <t>TERPENUHI</t>
  </si>
  <si>
    <t>SANGAT KUAT KORELASI ANTARA GOAL SCORED DENGAN SALARY</t>
  </si>
  <si>
    <t xml:space="preserve">TERDISTRIBUSI NORMAL </t>
  </si>
  <si>
    <t>TIDAK TERPENUHI</t>
  </si>
  <si>
    <t>UJI ASUMSI 4</t>
  </si>
  <si>
    <t>SST = (SSR + SSE)</t>
  </si>
  <si>
    <t>SISA YANG TIDAK DAPAT DIPREDIKSI</t>
  </si>
  <si>
    <t>AVERAGE Y-ACTUAL</t>
  </si>
  <si>
    <t>MODEL CUKUP MEYAKINKAN UNTUK MENUNJUKAN ADANYA KORELASI</t>
  </si>
  <si>
    <t>SISA DARI DATA YANG TIDAK DAPAT DIJELASKAN OLEH MODEL</t>
  </si>
  <si>
    <t xml:space="preserve">SEMAKIN GOAL TINGGI MAKA SULIT DIPREDIKSI DAN KURANG SEIMBANG DI TITIK TINGGI / RENDAH (EKSTREM). </t>
  </si>
  <si>
    <t>X-PREDICTOR</t>
  </si>
  <si>
    <t>Y-TARGET</t>
  </si>
  <si>
    <t>BATAS BAWAH</t>
  </si>
  <si>
    <t>BATAS ATAS</t>
  </si>
  <si>
    <t>GOAL SCORE DATA 1</t>
  </si>
  <si>
    <t>X-SLOPE / b1</t>
  </si>
  <si>
    <t>Y-INTERCEPT / b0</t>
  </si>
  <si>
    <t>LINEST</t>
  </si>
  <si>
    <t>SXX</t>
  </si>
  <si>
    <t>AVERAGE Y</t>
  </si>
  <si>
    <t>X-SLOPE</t>
  </si>
  <si>
    <t>SE</t>
  </si>
  <si>
    <t>T-Critical</t>
  </si>
  <si>
    <t>Margin Of Error</t>
  </si>
  <si>
    <t xml:space="preserve">R n D Estimasi </t>
  </si>
  <si>
    <t>Batas Bawah</t>
  </si>
  <si>
    <t>Batas Atas</t>
  </si>
  <si>
    <t>T-CRITICAL</t>
  </si>
  <si>
    <t>MARGIN OF ERROR</t>
  </si>
  <si>
    <t xml:space="preserve">X-PREDICTOR </t>
  </si>
  <si>
    <t xml:space="preserve">BATAS BAWAH </t>
  </si>
  <si>
    <t xml:space="preserve">3. X0 RnD $ 250,000 Untuk Mendapatkan Profit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</si>
</sst>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_-[$$-409]* #,##0.00_ ;_-[$$-409]* \-#,##0.00\ ;_-[$$-409]* &quot;-&quot;??_ ;_-@_ "/>
    <numFmt numFmtId="166" formatCode="_-[$$-409]* #,##0_ ;_-[$$-409]* \-#,##0\ ;_-[$$-409]* &quot;-&quot;??_ ;_-@_ "/>
  </numFmts>
  <fonts count="10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0"/>
      <name val="Algerian"/>
      <family val="5"/>
    </font>
    <font>
      <b/>
      <sz val="11"/>
      <color theme="0"/>
      <name val="Bahnschrift"/>
      <family val="2"/>
    </font>
    <font>
      <b/>
      <sz val="11"/>
      <color theme="0"/>
      <name val="Algerian"/>
      <family val="5"/>
    </font>
    <font>
      <b/>
      <sz val="11"/>
      <color theme="1"/>
      <name val="Algerian"/>
      <family val="5"/>
    </font>
    <font>
      <b/>
      <sz val="10"/>
      <color theme="1"/>
      <name val="Algerian"/>
      <family val="5"/>
    </font>
    <font>
      <b/>
      <sz val="10"/>
      <color theme="1"/>
      <name val="Arial Rounded MT Bold"/>
      <family val="2"/>
    </font>
    <font>
      <b/>
      <sz val="10"/>
      <color theme="0"/>
      <name val="Arial Rounded MT Bold"/>
      <family val="2"/>
    </font>
    <font>
      <b/>
      <sz val="14"/>
      <color theme="0"/>
      <name val="Book Antiqua"/>
      <family val="1"/>
    </font>
    <font>
      <b/>
      <sz val="12"/>
      <color theme="0"/>
      <name val="Cascadia Code"/>
      <family val="3"/>
    </font>
    <font>
      <b/>
      <sz val="10"/>
      <color theme="1"/>
      <name val="Bookman Old Style"/>
      <family val="1"/>
    </font>
    <font>
      <b/>
      <sz val="12"/>
      <color theme="0"/>
      <name val="Bahnschrift Light SemiCondensed"/>
      <family val="2"/>
    </font>
    <font>
      <b/>
      <sz val="12"/>
      <color theme="0"/>
      <name val="Calisto MT"/>
      <family val="1"/>
    </font>
    <font>
      <b/>
      <sz val="10"/>
      <color theme="8"/>
      <name val="Arial"/>
      <family val="2"/>
      <scheme val="minor"/>
    </font>
    <font>
      <b/>
      <sz val="12"/>
      <color theme="4"/>
      <name val="Cascadia Mono SemiBold"/>
      <family val="3"/>
    </font>
    <font>
      <b/>
      <sz val="12"/>
      <color theme="4"/>
      <name val="Franklin Gothic Heavy"/>
      <family val="2"/>
    </font>
    <font>
      <b/>
      <sz val="12"/>
      <color rgb="FFFF0000"/>
      <name val="Copperplate Gothic Bold"/>
      <family val="2"/>
    </font>
    <font>
      <b/>
      <sz val="12"/>
      <color rgb="FFFF0000"/>
      <name val="Dubai Medium"/>
      <family val="2"/>
    </font>
    <font>
      <b/>
      <sz val="11"/>
      <color theme="0"/>
      <name val="Lucida Sans Unicode"/>
      <family val="2"/>
    </font>
    <font>
      <b/>
      <sz val="11"/>
      <color rgb="FFFF0000"/>
      <name val="Lucida Sans Unicode"/>
      <family val="2"/>
    </font>
    <font>
      <sz val="10"/>
      <color theme="7" tint="-0.249977111117893"/>
      <name val="Arial"/>
      <family val="2"/>
      <scheme val="minor"/>
    </font>
    <font>
      <b/>
      <sz val="12"/>
      <color theme="1"/>
      <name val="Mongolian Baiti"/>
      <family val="4"/>
    </font>
    <font>
      <b/>
      <sz val="11"/>
      <color theme="1"/>
      <name val="Segoe UI"/>
      <family val="2"/>
    </font>
    <font>
      <b/>
      <sz val="14"/>
      <color theme="1"/>
      <name val="PMingLiU-ExtB"/>
      <family val="1"/>
    </font>
    <font>
      <b/>
      <sz val="12"/>
      <color theme="1"/>
      <name val="NSimSun"/>
      <family val="3"/>
    </font>
    <font>
      <b/>
      <sz val="11"/>
      <color theme="0"/>
      <name val="Lucida Bright"/>
      <family val="1"/>
    </font>
    <font>
      <sz val="11"/>
      <color theme="0"/>
      <name val="Lucida Bright"/>
      <family val="1"/>
    </font>
    <font>
      <b/>
      <sz val="10"/>
      <color theme="0"/>
      <name val="Franklin Gothic Demi"/>
      <family val="2"/>
    </font>
    <font>
      <b/>
      <sz val="11"/>
      <color theme="0"/>
      <name val="Cascadia Mono SemiBold"/>
      <family val="3"/>
    </font>
    <font>
      <b/>
      <sz val="11"/>
      <color theme="0"/>
      <name val="Franklin Gothic Demi"/>
      <family val="2"/>
    </font>
    <font>
      <b/>
      <sz val="10"/>
      <color theme="0"/>
      <name val="Gadugi"/>
      <family val="2"/>
    </font>
    <font>
      <b/>
      <sz val="11"/>
      <color theme="0"/>
      <name val="Gadugi"/>
      <family val="2"/>
    </font>
    <font>
      <b/>
      <sz val="12"/>
      <color theme="0"/>
      <name val="Gadugi"/>
      <family val="2"/>
    </font>
    <font>
      <b/>
      <sz val="12"/>
      <color theme="1"/>
      <name val="Microsoft New Tai Lue"/>
      <family val="2"/>
    </font>
    <font>
      <sz val="12"/>
      <color theme="1"/>
      <name val="Microsoft New Tai Lue"/>
      <family val="2"/>
    </font>
    <font>
      <b/>
      <sz val="12"/>
      <color theme="0"/>
      <name val="Lucida Bright"/>
      <family val="1"/>
    </font>
    <font>
      <b/>
      <sz val="12"/>
      <color theme="0"/>
      <name val="Microsoft JhengHei"/>
      <family val="2"/>
    </font>
    <font>
      <b/>
      <sz val="12"/>
      <color theme="0"/>
      <name val="Segoe UI Emoji"/>
      <family val="2"/>
    </font>
    <font>
      <b/>
      <sz val="12"/>
      <color theme="1"/>
      <name val="Algerian"/>
      <family val="5"/>
    </font>
    <font>
      <b/>
      <sz val="12"/>
      <color theme="1"/>
      <name val="MS Gothic"/>
      <family val="3"/>
    </font>
    <font>
      <b/>
      <sz val="12"/>
      <color theme="1"/>
      <name val="Nirmala UI Semilight"/>
      <family val="2"/>
    </font>
    <font>
      <b/>
      <sz val="12"/>
      <color theme="1"/>
      <name val="Palatino Linotype"/>
      <family val="1"/>
    </font>
    <font>
      <b/>
      <sz val="11"/>
      <color theme="1"/>
      <name val="Perpetua Titling MT"/>
      <family val="1"/>
    </font>
    <font>
      <b/>
      <sz val="11"/>
      <color theme="0"/>
      <name val="Segoe UI"/>
      <family val="2"/>
    </font>
    <font>
      <sz val="10"/>
      <color theme="0"/>
      <name val="Rockwell"/>
      <family val="1"/>
    </font>
    <font>
      <b/>
      <sz val="10"/>
      <color theme="0"/>
      <name val="Bahnschrift Light"/>
      <family val="2"/>
    </font>
    <font>
      <b/>
      <sz val="11"/>
      <color theme="4"/>
      <name val="Lucida Bright"/>
      <family val="1"/>
    </font>
    <font>
      <b/>
      <sz val="11"/>
      <color theme="5"/>
      <name val="Lucida Bright"/>
      <family val="1"/>
    </font>
    <font>
      <b/>
      <sz val="11"/>
      <color theme="4" tint="-0.249977111117893"/>
      <name val="Lucida Bright"/>
      <family val="1"/>
    </font>
    <font>
      <b/>
      <sz val="12"/>
      <color rgb="FFFF0000"/>
      <name val="Comic Sans MS"/>
      <family val="4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  <font>
      <b/>
      <sz val="11"/>
      <color theme="0"/>
      <name val="Microsoft YaHei"/>
      <family val="2"/>
    </font>
    <font>
      <sz val="11"/>
      <color theme="0"/>
      <name val="Microsoft YaHei"/>
      <family val="2"/>
    </font>
    <font>
      <b/>
      <sz val="11"/>
      <color theme="1"/>
      <name val="Arial Rounded MT Bold"/>
      <family val="2"/>
    </font>
    <font>
      <b/>
      <sz val="10"/>
      <color theme="0"/>
      <name val="Ebrima"/>
    </font>
    <font>
      <b/>
      <sz val="10"/>
      <color theme="0"/>
      <name val="Lucida Fax"/>
      <family val="1"/>
    </font>
    <font>
      <b/>
      <sz val="10"/>
      <color theme="0"/>
      <name val="Lucida Sans"/>
      <family val="2"/>
    </font>
    <font>
      <b/>
      <sz val="12"/>
      <name val="Book Antiqua"/>
      <family val="1"/>
    </font>
    <font>
      <b/>
      <sz val="11"/>
      <color rgb="FFFF0000"/>
      <name val="Lucida Bright"/>
      <family val="1"/>
    </font>
    <font>
      <b/>
      <sz val="11"/>
      <color theme="1"/>
      <name val="Bahnschrift Light SemiCondensed"/>
      <family val="2"/>
    </font>
    <font>
      <b/>
      <sz val="11"/>
      <color theme="1"/>
      <name val="Bahnschrift SemiBold"/>
      <family val="2"/>
    </font>
    <font>
      <b/>
      <sz val="10"/>
      <color theme="1"/>
      <name val="Cascadia Code Light"/>
      <family val="3"/>
    </font>
    <font>
      <b/>
      <sz val="10"/>
      <color theme="0"/>
      <name val="Microsoft YaHei"/>
      <family val="2"/>
    </font>
    <font>
      <b/>
      <sz val="11"/>
      <color theme="0"/>
      <name val="Cascadia Mono"/>
      <family val="3"/>
    </font>
    <font>
      <b/>
      <sz val="11"/>
      <color theme="0"/>
      <name val="Bahnschrift SemiLight"/>
      <family val="2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2"/>
      <color theme="1"/>
      <name val="Rockwell"/>
      <family val="1"/>
    </font>
    <font>
      <sz val="11"/>
      <color theme="1"/>
      <name val="Rockwell"/>
      <family val="1"/>
    </font>
    <font>
      <sz val="11"/>
      <color theme="0"/>
      <name val="Rockwell"/>
      <family val="1"/>
    </font>
    <font>
      <b/>
      <sz val="11"/>
      <color rgb="FFFF0000"/>
      <name val="Rockwell"/>
      <family val="1"/>
    </font>
    <font>
      <b/>
      <sz val="11"/>
      <color theme="0"/>
      <name val="Rockwell"/>
      <family val="1"/>
    </font>
    <font>
      <sz val="12"/>
      <color theme="0"/>
      <name val="Rockwell"/>
      <family val="1"/>
    </font>
    <font>
      <sz val="12"/>
      <color theme="0"/>
      <name val="Arial"/>
      <family val="2"/>
      <scheme val="minor"/>
    </font>
    <font>
      <b/>
      <sz val="11"/>
      <color theme="1"/>
      <name val="Rockwell"/>
      <family val="1"/>
    </font>
    <font>
      <b/>
      <sz val="12"/>
      <color theme="4"/>
      <name val="Rockwell"/>
      <family val="1"/>
    </font>
    <font>
      <b/>
      <sz val="12"/>
      <color theme="5"/>
      <name val="Rockwell"/>
      <family val="1"/>
    </font>
    <font>
      <b/>
      <sz val="12"/>
      <color rgb="FFFF0000"/>
      <name val="Rockwell"/>
      <family val="1"/>
    </font>
    <font>
      <b/>
      <sz val="12"/>
      <color theme="0"/>
      <name val="Rockwell"/>
      <family val="1"/>
    </font>
    <font>
      <sz val="8"/>
      <name val="Arial"/>
      <family val="2"/>
      <scheme val="minor"/>
    </font>
    <font>
      <b/>
      <sz val="12"/>
      <color theme="1"/>
      <name val="Rockwell"/>
      <family val="1"/>
    </font>
    <font>
      <b/>
      <sz val="10"/>
      <color theme="1"/>
      <name val="Ebrima"/>
    </font>
  </fonts>
  <fills count="4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rgb="FF00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theme="1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FF00"/>
      </patternFill>
    </fill>
    <fill>
      <patternFill patternType="solid">
        <fgColor theme="1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ashDot">
        <color theme="0" tint="-0.14999847407452621"/>
      </left>
      <right style="dashDot">
        <color theme="0" tint="-0.14999847407452621"/>
      </right>
      <top style="dashDot">
        <color theme="0" tint="-0.14999847407452621"/>
      </top>
      <bottom style="dashDot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9" fillId="3" borderId="0" xfId="0" applyFont="1" applyFill="1"/>
    <xf numFmtId="0" fontId="7" fillId="5" borderId="0" xfId="0" applyFont="1" applyFill="1" applyAlignment="1">
      <alignment horizontal="right"/>
    </xf>
    <xf numFmtId="0" fontId="7" fillId="6" borderId="0" xfId="0" applyFont="1" applyFill="1"/>
    <xf numFmtId="0" fontId="7" fillId="6" borderId="0" xfId="0" applyFont="1" applyFill="1" applyAlignment="1">
      <alignment horizontal="right"/>
    </xf>
    <xf numFmtId="0" fontId="7" fillId="7" borderId="0" xfId="0" applyFont="1" applyFill="1" applyAlignment="1">
      <alignment horizontal="right"/>
    </xf>
    <xf numFmtId="0" fontId="11" fillId="7" borderId="0" xfId="0" applyFont="1" applyFill="1"/>
    <xf numFmtId="0" fontId="11" fillId="7" borderId="0" xfId="0" applyFont="1" applyFill="1" applyAlignment="1">
      <alignment horizontal="right"/>
    </xf>
    <xf numFmtId="0" fontId="8" fillId="3" borderId="0" xfId="0" applyFont="1" applyFill="1"/>
    <xf numFmtId="0" fontId="13" fillId="4" borderId="0" xfId="0" applyFont="1" applyFill="1"/>
    <xf numFmtId="0" fontId="13" fillId="5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0" fillId="7" borderId="0" xfId="0" applyFill="1"/>
    <xf numFmtId="0" fontId="12" fillId="7" borderId="0" xfId="0" applyFont="1" applyFill="1"/>
    <xf numFmtId="0" fontId="8" fillId="6" borderId="0" xfId="0" applyFont="1" applyFill="1" applyAlignment="1">
      <alignment horizontal="center"/>
    </xf>
    <xf numFmtId="0" fontId="9" fillId="7" borderId="0" xfId="0" applyFont="1" applyFill="1"/>
    <xf numFmtId="0" fontId="8" fillId="7" borderId="0" xfId="0" applyFont="1" applyFill="1"/>
    <xf numFmtId="0" fontId="8" fillId="18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5" fillId="7" borderId="0" xfId="0" applyFont="1" applyFill="1"/>
    <xf numFmtId="0" fontId="15" fillId="7" borderId="0" xfId="0" applyFont="1" applyFill="1" applyAlignment="1">
      <alignment horizontal="right"/>
    </xf>
    <xf numFmtId="0" fontId="9" fillId="6" borderId="0" xfId="0" applyFont="1" applyFill="1"/>
    <xf numFmtId="0" fontId="16" fillId="3" borderId="0" xfId="0" applyFont="1" applyFill="1" applyAlignment="1">
      <alignment horizontal="right"/>
    </xf>
    <xf numFmtId="0" fontId="8" fillId="3" borderId="0" xfId="0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0" fillId="3" borderId="0" xfId="0" applyFill="1"/>
    <xf numFmtId="0" fontId="13" fillId="22" borderId="0" xfId="0" applyFont="1" applyFill="1" applyAlignment="1">
      <alignment horizontal="right"/>
    </xf>
    <xf numFmtId="0" fontId="17" fillId="22" borderId="0" xfId="0" applyFont="1" applyFill="1"/>
    <xf numFmtId="0" fontId="10" fillId="4" borderId="0" xfId="0" applyFont="1" applyFill="1" applyAlignment="1">
      <alignment horizontal="center"/>
    </xf>
    <xf numFmtId="0" fontId="13" fillId="5" borderId="0" xfId="0" applyFont="1" applyFill="1"/>
    <xf numFmtId="0" fontId="13" fillId="5" borderId="0" xfId="0" applyFont="1" applyFill="1" applyAlignment="1">
      <alignment horizontal="left"/>
    </xf>
    <xf numFmtId="0" fontId="8" fillId="3" borderId="0" xfId="0" applyFont="1" applyFill="1" applyAlignment="1">
      <alignment horizontal="right"/>
    </xf>
    <xf numFmtId="0" fontId="8" fillId="27" borderId="0" xfId="0" applyFont="1" applyFill="1" applyAlignment="1">
      <alignment horizontal="right"/>
    </xf>
    <xf numFmtId="0" fontId="2" fillId="3" borderId="0" xfId="0" applyFont="1" applyFill="1"/>
    <xf numFmtId="0" fontId="13" fillId="3" borderId="0" xfId="0" applyFont="1" applyFill="1" applyAlignment="1">
      <alignment horizontal="right"/>
    </xf>
    <xf numFmtId="0" fontId="8" fillId="10" borderId="0" xfId="0" applyFont="1" applyFill="1" applyAlignment="1">
      <alignment horizontal="right"/>
    </xf>
    <xf numFmtId="0" fontId="17" fillId="10" borderId="0" xfId="0" applyFont="1" applyFill="1"/>
    <xf numFmtId="0" fontId="13" fillId="22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18" fillId="10" borderId="0" xfId="0" applyFont="1" applyFill="1"/>
    <xf numFmtId="4" fontId="5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13" fillId="10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13" fillId="10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3" fillId="6" borderId="0" xfId="0" applyFont="1" applyFill="1" applyAlignment="1">
      <alignment horizontal="right"/>
    </xf>
    <xf numFmtId="0" fontId="14" fillId="7" borderId="0" xfId="0" applyFont="1" applyFill="1"/>
    <xf numFmtId="0" fontId="20" fillId="10" borderId="0" xfId="0" applyFont="1" applyFill="1" applyAlignment="1">
      <alignment horizontal="center"/>
    </xf>
    <xf numFmtId="0" fontId="20" fillId="10" borderId="0" xfId="0" applyFont="1" applyFill="1" applyAlignment="1">
      <alignment horizontal="center" wrapText="1"/>
    </xf>
    <xf numFmtId="0" fontId="21" fillId="29" borderId="0" xfId="0" applyFont="1" applyFill="1" applyAlignment="1">
      <alignment horizontal="center"/>
    </xf>
    <xf numFmtId="0" fontId="13" fillId="29" borderId="0" xfId="0" applyFont="1" applyFill="1" applyAlignment="1">
      <alignment horizontal="right"/>
    </xf>
    <xf numFmtId="0" fontId="17" fillId="3" borderId="0" xfId="0" applyFont="1" applyFill="1"/>
    <xf numFmtId="0" fontId="17" fillId="7" borderId="0" xfId="0" applyFont="1" applyFill="1"/>
    <xf numFmtId="0" fontId="22" fillId="30" borderId="0" xfId="0" applyFont="1" applyFill="1" applyAlignment="1">
      <alignment horizontal="center"/>
    </xf>
    <xf numFmtId="164" fontId="13" fillId="30" borderId="0" xfId="0" applyNumberFormat="1" applyFont="1" applyFill="1" applyAlignment="1">
      <alignment horizontal="center"/>
    </xf>
    <xf numFmtId="0" fontId="13" fillId="30" borderId="0" xfId="0" applyFont="1" applyFill="1" applyAlignment="1">
      <alignment horizontal="center" vertical="center" wrapText="1"/>
    </xf>
    <xf numFmtId="0" fontId="13" fillId="30" borderId="0" xfId="0" applyFont="1" applyFill="1" applyAlignment="1">
      <alignment horizontal="right"/>
    </xf>
    <xf numFmtId="0" fontId="17" fillId="31" borderId="0" xfId="0" applyFont="1" applyFill="1"/>
    <xf numFmtId="0" fontId="13" fillId="27" borderId="0" xfId="0" applyFont="1" applyFill="1" applyAlignment="1">
      <alignment horizontal="right"/>
    </xf>
    <xf numFmtId="0" fontId="17" fillId="27" borderId="0" xfId="0" applyFont="1" applyFill="1"/>
    <xf numFmtId="0" fontId="6" fillId="27" borderId="0" xfId="0" applyFont="1" applyFill="1"/>
    <xf numFmtId="0" fontId="25" fillId="27" borderId="0" xfId="0" applyFont="1" applyFill="1" applyAlignment="1">
      <alignment horizontal="right"/>
    </xf>
    <xf numFmtId="0" fontId="26" fillId="27" borderId="0" xfId="0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28" fillId="11" borderId="0" xfId="0" applyFont="1" applyFill="1" applyAlignment="1">
      <alignment horizontal="right"/>
    </xf>
    <xf numFmtId="0" fontId="28" fillId="11" borderId="0" xfId="0" applyFont="1" applyFill="1"/>
    <xf numFmtId="1" fontId="29" fillId="31" borderId="0" xfId="0" applyNumberFormat="1" applyFont="1" applyFill="1" applyAlignment="1">
      <alignment horizontal="center"/>
    </xf>
    <xf numFmtId="0" fontId="29" fillId="31" borderId="0" xfId="0" applyFont="1" applyFill="1" applyAlignment="1">
      <alignment horizontal="right"/>
    </xf>
    <xf numFmtId="0" fontId="29" fillId="31" borderId="0" xfId="0" applyFont="1" applyFill="1"/>
    <xf numFmtId="0" fontId="29" fillId="31" borderId="0" xfId="0" applyFont="1" applyFill="1" applyAlignment="1">
      <alignment horizontal="center"/>
    </xf>
    <xf numFmtId="0" fontId="30" fillId="6" borderId="0" xfId="0" applyFont="1" applyFill="1"/>
    <xf numFmtId="10" fontId="31" fillId="7" borderId="0" xfId="0" applyNumberFormat="1" applyFont="1" applyFill="1" applyAlignment="1">
      <alignment horizontal="center"/>
    </xf>
    <xf numFmtId="0" fontId="32" fillId="7" borderId="0" xfId="0" applyFont="1" applyFill="1" applyAlignment="1">
      <alignment horizontal="center"/>
    </xf>
    <xf numFmtId="2" fontId="33" fillId="3" borderId="0" xfId="0" applyNumberFormat="1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35" fillId="3" borderId="0" xfId="0" applyFont="1" applyFill="1" applyAlignment="1">
      <alignment horizontal="left"/>
    </xf>
    <xf numFmtId="0" fontId="36" fillId="3" borderId="0" xfId="0" applyFont="1" applyFill="1" applyAlignment="1">
      <alignment horizontal="left" vertical="center" wrapText="1"/>
    </xf>
    <xf numFmtId="0" fontId="35" fillId="3" borderId="0" xfId="0" applyFont="1" applyFill="1" applyAlignment="1">
      <alignment horizontal="left" vertical="center" wrapText="1"/>
    </xf>
    <xf numFmtId="0" fontId="9" fillId="22" borderId="0" xfId="0" applyFont="1" applyFill="1"/>
    <xf numFmtId="0" fontId="9" fillId="10" borderId="0" xfId="0" applyFont="1" applyFill="1"/>
    <xf numFmtId="0" fontId="37" fillId="31" borderId="0" xfId="0" applyFont="1" applyFill="1"/>
    <xf numFmtId="0" fontId="9" fillId="27" borderId="0" xfId="0" applyFont="1" applyFill="1"/>
    <xf numFmtId="0" fontId="9" fillId="11" borderId="0" xfId="0" applyFont="1" applyFill="1"/>
    <xf numFmtId="0" fontId="9" fillId="31" borderId="0" xfId="0" applyFont="1" applyFill="1"/>
    <xf numFmtId="2" fontId="27" fillId="7" borderId="0" xfId="0" applyNumberFormat="1" applyFont="1" applyFill="1" applyAlignment="1">
      <alignment horizontal="center"/>
    </xf>
    <xf numFmtId="10" fontId="28" fillId="11" borderId="0" xfId="0" applyNumberFormat="1" applyFont="1" applyFill="1" applyAlignment="1">
      <alignment horizontal="center"/>
    </xf>
    <xf numFmtId="0" fontId="38" fillId="7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17" fillId="5" borderId="0" xfId="0" applyFont="1" applyFill="1"/>
    <xf numFmtId="0" fontId="9" fillId="5" borderId="0" xfId="0" applyFont="1" applyFill="1"/>
    <xf numFmtId="0" fontId="40" fillId="7" borderId="0" xfId="0" applyFont="1" applyFill="1" applyAlignment="1">
      <alignment horizontal="center"/>
    </xf>
    <xf numFmtId="0" fontId="41" fillId="7" borderId="0" xfId="0" applyFont="1" applyFill="1" applyAlignment="1">
      <alignment horizontal="center"/>
    </xf>
    <xf numFmtId="0" fontId="9" fillId="21" borderId="0" xfId="0" applyFont="1" applyFill="1"/>
    <xf numFmtId="0" fontId="43" fillId="32" borderId="0" xfId="0" applyFont="1" applyFill="1"/>
    <xf numFmtId="0" fontId="42" fillId="32" borderId="0" xfId="0" applyFont="1" applyFill="1" applyAlignment="1">
      <alignment horizontal="center"/>
    </xf>
    <xf numFmtId="0" fontId="44" fillId="10" borderId="0" xfId="0" applyFont="1" applyFill="1" applyAlignment="1">
      <alignment horizontal="left"/>
    </xf>
    <xf numFmtId="0" fontId="46" fillId="10" borderId="0" xfId="0" applyFont="1" applyFill="1" applyAlignment="1">
      <alignment horizontal="right"/>
    </xf>
    <xf numFmtId="0" fontId="47" fillId="10" borderId="0" xfId="0" applyFont="1" applyFill="1" applyAlignment="1">
      <alignment horizontal="right"/>
    </xf>
    <xf numFmtId="0" fontId="48" fillId="10" borderId="0" xfId="0" applyFont="1" applyFill="1" applyAlignment="1">
      <alignment horizontal="center"/>
    </xf>
    <xf numFmtId="0" fontId="49" fillId="10" borderId="0" xfId="0" applyFont="1" applyFill="1" applyAlignment="1">
      <alignment horizontal="center"/>
    </xf>
    <xf numFmtId="0" fontId="48" fillId="10" borderId="0" xfId="0" applyFont="1" applyFill="1" applyAlignment="1">
      <alignment horizontal="right"/>
    </xf>
    <xf numFmtId="0" fontId="49" fillId="10" borderId="0" xfId="0" applyFont="1" applyFill="1" applyAlignment="1">
      <alignment horizontal="right"/>
    </xf>
    <xf numFmtId="0" fontId="50" fillId="7" borderId="0" xfId="0" applyFont="1" applyFill="1" applyAlignment="1">
      <alignment horizontal="center"/>
    </xf>
    <xf numFmtId="0" fontId="51" fillId="7" borderId="0" xfId="0" applyFont="1" applyFill="1"/>
    <xf numFmtId="0" fontId="52" fillId="32" borderId="0" xfId="0" applyFont="1" applyFill="1"/>
    <xf numFmtId="0" fontId="53" fillId="21" borderId="0" xfId="0" applyFont="1" applyFill="1" applyAlignment="1">
      <alignment horizontal="right"/>
    </xf>
    <xf numFmtId="0" fontId="53" fillId="21" borderId="0" xfId="0" applyFont="1" applyFill="1" applyAlignment="1">
      <alignment horizontal="center"/>
    </xf>
    <xf numFmtId="0" fontId="54" fillId="8" borderId="0" xfId="0" applyFont="1" applyFill="1" applyAlignment="1">
      <alignment horizontal="center"/>
    </xf>
    <xf numFmtId="0" fontId="55" fillId="7" borderId="0" xfId="0" applyFont="1" applyFill="1" applyAlignment="1">
      <alignment horizontal="right"/>
    </xf>
    <xf numFmtId="0" fontId="1" fillId="25" borderId="0" xfId="0" applyFont="1" applyFill="1" applyAlignment="1">
      <alignment horizontal="right"/>
    </xf>
    <xf numFmtId="0" fontId="3" fillId="3" borderId="0" xfId="0" applyFont="1" applyFill="1" applyAlignment="1">
      <alignment wrapText="1"/>
    </xf>
    <xf numFmtId="0" fontId="1" fillId="25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9" fontId="1" fillId="3" borderId="0" xfId="0" applyNumberFormat="1" applyFont="1" applyFill="1" applyAlignment="1">
      <alignment horizontal="right" wrapText="1"/>
    </xf>
    <xf numFmtId="0" fontId="3" fillId="25" borderId="0" xfId="0" applyFont="1" applyFill="1"/>
    <xf numFmtId="0" fontId="10" fillId="5" borderId="0" xfId="0" applyFont="1" applyFill="1"/>
    <xf numFmtId="0" fontId="12" fillId="5" borderId="0" xfId="0" applyFont="1" applyFill="1"/>
    <xf numFmtId="0" fontId="56" fillId="33" borderId="0" xfId="0" applyFont="1" applyFill="1" applyAlignment="1">
      <alignment horizontal="center"/>
    </xf>
    <xf numFmtId="0" fontId="10" fillId="33" borderId="0" xfId="0" applyFont="1" applyFill="1"/>
    <xf numFmtId="0" fontId="12" fillId="33" borderId="0" xfId="0" applyFont="1" applyFill="1"/>
    <xf numFmtId="0" fontId="58" fillId="5" borderId="0" xfId="0" applyFont="1" applyFill="1" applyAlignment="1">
      <alignment horizontal="center"/>
    </xf>
    <xf numFmtId="0" fontId="58" fillId="5" borderId="0" xfId="0" applyFont="1" applyFill="1"/>
    <xf numFmtId="0" fontId="59" fillId="34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0" fillId="33" borderId="0" xfId="0" applyFont="1" applyFill="1" applyAlignment="1">
      <alignment horizontal="center"/>
    </xf>
    <xf numFmtId="3" fontId="23" fillId="7" borderId="0" xfId="0" applyNumberFormat="1" applyFont="1" applyFill="1" applyAlignment="1">
      <alignment horizontal="center"/>
    </xf>
    <xf numFmtId="0" fontId="61" fillId="33" borderId="0" xfId="0" applyFont="1" applyFill="1"/>
    <xf numFmtId="0" fontId="61" fillId="33" borderId="0" xfId="0" applyFont="1" applyFill="1" applyAlignment="1">
      <alignment horizontal="center"/>
    </xf>
    <xf numFmtId="10" fontId="1" fillId="25" borderId="0" xfId="0" applyNumberFormat="1" applyFont="1" applyFill="1" applyAlignment="1">
      <alignment horizontal="right"/>
    </xf>
    <xf numFmtId="0" fontId="62" fillId="9" borderId="0" xfId="0" applyFont="1" applyFill="1" applyAlignment="1">
      <alignment horizontal="center"/>
    </xf>
    <xf numFmtId="0" fontId="63" fillId="3" borderId="0" xfId="0" applyFont="1" applyFill="1" applyAlignment="1">
      <alignment horizontal="center"/>
    </xf>
    <xf numFmtId="0" fontId="64" fillId="3" borderId="0" xfId="0" applyFont="1" applyFill="1" applyAlignment="1">
      <alignment horizontal="center"/>
    </xf>
    <xf numFmtId="0" fontId="64" fillId="3" borderId="0" xfId="0" applyFont="1" applyFill="1" applyAlignment="1">
      <alignment horizontal="right"/>
    </xf>
    <xf numFmtId="0" fontId="24" fillId="31" borderId="0" xfId="0" applyFont="1" applyFill="1" applyAlignment="1">
      <alignment horizontal="center"/>
    </xf>
    <xf numFmtId="0" fontId="45" fillId="8" borderId="0" xfId="0" applyFont="1" applyFill="1" applyAlignment="1">
      <alignment horizontal="center"/>
    </xf>
    <xf numFmtId="2" fontId="66" fillId="3" borderId="0" xfId="0" applyNumberFormat="1" applyFont="1" applyFill="1" applyAlignment="1">
      <alignment horizontal="center"/>
    </xf>
    <xf numFmtId="0" fontId="66" fillId="3" borderId="0" xfId="0" applyFont="1" applyFill="1" applyAlignment="1">
      <alignment horizontal="center"/>
    </xf>
    <xf numFmtId="0" fontId="44" fillId="10" borderId="0" xfId="0" applyFont="1" applyFill="1" applyAlignment="1">
      <alignment horizontal="right"/>
    </xf>
    <xf numFmtId="0" fontId="27" fillId="5" borderId="0" xfId="0" applyFont="1" applyFill="1" applyAlignment="1">
      <alignment horizontal="left"/>
    </xf>
    <xf numFmtId="0" fontId="49" fillId="6" borderId="0" xfId="0" applyFont="1" applyFill="1" applyAlignment="1">
      <alignment horizontal="center"/>
    </xf>
    <xf numFmtId="0" fontId="49" fillId="35" borderId="0" xfId="0" applyFont="1" applyFill="1" applyAlignment="1">
      <alignment horizontal="center"/>
    </xf>
    <xf numFmtId="0" fontId="14" fillId="23" borderId="1" xfId="0" applyFont="1" applyFill="1" applyBorder="1"/>
    <xf numFmtId="0" fontId="14" fillId="24" borderId="1" xfId="0" applyFont="1" applyFill="1" applyBorder="1"/>
    <xf numFmtId="10" fontId="14" fillId="23" borderId="1" xfId="0" applyNumberFormat="1" applyFont="1" applyFill="1" applyBorder="1"/>
    <xf numFmtId="0" fontId="7" fillId="11" borderId="2" xfId="0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0" fontId="6" fillId="6" borderId="3" xfId="0" applyFont="1" applyFill="1" applyBorder="1"/>
    <xf numFmtId="0" fontId="9" fillId="3" borderId="3" xfId="0" applyFont="1" applyFill="1" applyBorder="1"/>
    <xf numFmtId="0" fontId="67" fillId="12" borderId="0" xfId="0" applyFont="1" applyFill="1" applyAlignment="1">
      <alignment horizontal="center"/>
    </xf>
    <xf numFmtId="0" fontId="67" fillId="28" borderId="0" xfId="0" applyFont="1" applyFill="1" applyAlignment="1">
      <alignment horizontal="right"/>
    </xf>
    <xf numFmtId="0" fontId="67" fillId="28" borderId="0" xfId="0" applyFont="1" applyFill="1"/>
    <xf numFmtId="0" fontId="67" fillId="28" borderId="0" xfId="0" applyFont="1" applyFill="1" applyAlignment="1">
      <alignment horizontal="center"/>
    </xf>
    <xf numFmtId="0" fontId="68" fillId="7" borderId="0" xfId="0" applyFont="1" applyFill="1"/>
    <xf numFmtId="0" fontId="69" fillId="21" borderId="0" xfId="0" applyFont="1" applyFill="1" applyAlignment="1">
      <alignment horizontal="right"/>
    </xf>
    <xf numFmtId="0" fontId="69" fillId="13" borderId="0" xfId="0" applyFont="1" applyFill="1" applyAlignment="1">
      <alignment horizontal="right"/>
    </xf>
    <xf numFmtId="0" fontId="69" fillId="27" borderId="0" xfId="0" applyFont="1" applyFill="1" applyAlignment="1">
      <alignment horizontal="right"/>
    </xf>
    <xf numFmtId="0" fontId="69" fillId="20" borderId="0" xfId="0" applyFont="1" applyFill="1" applyAlignment="1">
      <alignment horizontal="right"/>
    </xf>
    <xf numFmtId="0" fontId="67" fillId="5" borderId="0" xfId="0" applyFont="1" applyFill="1" applyAlignment="1">
      <alignment horizontal="right"/>
    </xf>
    <xf numFmtId="0" fontId="67" fillId="2" borderId="0" xfId="0" applyFont="1" applyFill="1" applyAlignment="1">
      <alignment horizontal="right"/>
    </xf>
    <xf numFmtId="0" fontId="67" fillId="16" borderId="0" xfId="0" applyFont="1" applyFill="1" applyAlignment="1">
      <alignment horizontal="right"/>
    </xf>
    <xf numFmtId="0" fontId="67" fillId="26" borderId="0" xfId="0" applyFont="1" applyFill="1" applyAlignment="1">
      <alignment horizontal="right"/>
    </xf>
    <xf numFmtId="0" fontId="67" fillId="15" borderId="0" xfId="0" applyFont="1" applyFill="1" applyAlignment="1">
      <alignment horizontal="right"/>
    </xf>
    <xf numFmtId="0" fontId="67" fillId="14" borderId="0" xfId="0" applyFont="1" applyFill="1"/>
    <xf numFmtId="0" fontId="69" fillId="3" borderId="0" xfId="0" applyFont="1" applyFill="1" applyAlignment="1">
      <alignment horizontal="right"/>
    </xf>
    <xf numFmtId="0" fontId="69" fillId="17" borderId="0" xfId="0" applyFont="1" applyFill="1"/>
    <xf numFmtId="0" fontId="69" fillId="3" borderId="0" xfId="0" applyFont="1" applyFill="1"/>
    <xf numFmtId="0" fontId="69" fillId="28" borderId="0" xfId="0" applyFont="1" applyFill="1"/>
    <xf numFmtId="0" fontId="68" fillId="28" borderId="0" xfId="0" applyFont="1" applyFill="1"/>
    <xf numFmtId="0" fontId="69" fillId="7" borderId="0" xfId="0" applyFont="1" applyFill="1"/>
    <xf numFmtId="0" fontId="70" fillId="7" borderId="0" xfId="0" applyFont="1" applyFill="1"/>
    <xf numFmtId="0" fontId="69" fillId="11" borderId="0" xfId="0" applyFont="1" applyFill="1" applyAlignment="1">
      <alignment horizontal="center"/>
    </xf>
    <xf numFmtId="10" fontId="69" fillId="11" borderId="0" xfId="0" applyNumberFormat="1" applyFont="1" applyFill="1" applyAlignment="1">
      <alignment horizontal="center"/>
    </xf>
    <xf numFmtId="0" fontId="69" fillId="18" borderId="0" xfId="0" applyFont="1" applyFill="1" applyAlignment="1">
      <alignment horizontal="center"/>
    </xf>
    <xf numFmtId="0" fontId="69" fillId="19" borderId="0" xfId="0" applyFont="1" applyFill="1"/>
    <xf numFmtId="0" fontId="69" fillId="19" borderId="0" xfId="0" applyFont="1" applyFill="1" applyAlignment="1">
      <alignment horizontal="center"/>
    </xf>
    <xf numFmtId="0" fontId="69" fillId="10" borderId="0" xfId="0" applyFont="1" applyFill="1" applyAlignment="1">
      <alignment horizontal="center"/>
    </xf>
    <xf numFmtId="0" fontId="69" fillId="10" borderId="0" xfId="0" applyFont="1" applyFill="1"/>
    <xf numFmtId="4" fontId="27" fillId="12" borderId="0" xfId="0" applyNumberFormat="1" applyFont="1" applyFill="1" applyAlignment="1">
      <alignment horizontal="center"/>
    </xf>
    <xf numFmtId="0" fontId="67" fillId="15" borderId="0" xfId="0" applyFont="1" applyFill="1" applyAlignment="1">
      <alignment horizontal="center"/>
    </xf>
    <xf numFmtId="3" fontId="71" fillId="7" borderId="0" xfId="0" applyNumberFormat="1" applyFont="1" applyFill="1" applyAlignment="1">
      <alignment horizontal="center"/>
    </xf>
    <xf numFmtId="0" fontId="10" fillId="36" borderId="0" xfId="0" applyFont="1" applyFill="1" applyAlignment="1">
      <alignment horizontal="center"/>
    </xf>
    <xf numFmtId="0" fontId="6" fillId="7" borderId="0" xfId="0" applyFont="1" applyFill="1"/>
    <xf numFmtId="0" fontId="68" fillId="10" borderId="0" xfId="0" applyFont="1" applyFill="1"/>
    <xf numFmtId="0" fontId="68" fillId="27" borderId="0" xfId="0" applyFont="1" applyFill="1"/>
    <xf numFmtId="0" fontId="69" fillId="27" borderId="0" xfId="0" applyFont="1" applyFill="1"/>
    <xf numFmtId="0" fontId="68" fillId="12" borderId="0" xfId="0" applyFont="1" applyFill="1"/>
    <xf numFmtId="0" fontId="70" fillId="12" borderId="0" xfId="0" applyFont="1" applyFill="1"/>
    <xf numFmtId="0" fontId="67" fillId="7" borderId="0" xfId="0" applyFont="1" applyFill="1"/>
    <xf numFmtId="0" fontId="68" fillId="37" borderId="0" xfId="0" applyFont="1" applyFill="1"/>
    <xf numFmtId="0" fontId="68" fillId="3" borderId="0" xfId="0" applyFont="1" applyFill="1"/>
    <xf numFmtId="0" fontId="72" fillId="33" borderId="0" xfId="0" applyFont="1" applyFill="1" applyAlignment="1">
      <alignment horizontal="right"/>
    </xf>
    <xf numFmtId="0" fontId="72" fillId="33" borderId="0" xfId="0" applyFont="1" applyFill="1"/>
    <xf numFmtId="0" fontId="73" fillId="31" borderId="0" xfId="0" applyFont="1" applyFill="1" applyAlignment="1">
      <alignment horizontal="right"/>
    </xf>
    <xf numFmtId="0" fontId="74" fillId="38" borderId="0" xfId="0" applyFont="1" applyFill="1" applyAlignment="1">
      <alignment horizontal="center"/>
    </xf>
    <xf numFmtId="0" fontId="1" fillId="38" borderId="0" xfId="0" applyFont="1" applyFill="1" applyAlignment="1">
      <alignment horizontal="right"/>
    </xf>
    <xf numFmtId="0" fontId="1" fillId="7" borderId="0" xfId="0" applyFont="1" applyFill="1" applyAlignment="1">
      <alignment horizontal="right" wrapText="1"/>
    </xf>
    <xf numFmtId="166" fontId="75" fillId="7" borderId="0" xfId="0" applyNumberFormat="1" applyFont="1" applyFill="1" applyAlignment="1">
      <alignment horizontal="right"/>
    </xf>
    <xf numFmtId="0" fontId="9" fillId="3" borderId="4" xfId="0" applyFont="1" applyFill="1" applyBorder="1" applyAlignment="1">
      <alignment horizontal="center"/>
    </xf>
    <xf numFmtId="4" fontId="9" fillId="3" borderId="4" xfId="0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10" fontId="9" fillId="3" borderId="0" xfId="0" applyNumberFormat="1" applyFont="1" applyFill="1"/>
    <xf numFmtId="0" fontId="76" fillId="3" borderId="0" xfId="0" applyFont="1" applyFill="1" applyAlignment="1">
      <alignment horizontal="center"/>
    </xf>
    <xf numFmtId="0" fontId="76" fillId="3" borderId="0" xfId="0" applyFont="1" applyFill="1"/>
    <xf numFmtId="0" fontId="77" fillId="12" borderId="0" xfId="0" applyFont="1" applyFill="1" applyAlignment="1">
      <alignment horizontal="center"/>
    </xf>
    <xf numFmtId="0" fontId="78" fillId="39" borderId="0" xfId="0" applyFont="1" applyFill="1" applyAlignment="1">
      <alignment horizontal="center"/>
    </xf>
    <xf numFmtId="0" fontId="78" fillId="12" borderId="0" xfId="0" applyFont="1" applyFill="1" applyAlignment="1">
      <alignment horizontal="center"/>
    </xf>
    <xf numFmtId="0" fontId="79" fillId="26" borderId="0" xfId="0" applyFont="1" applyFill="1"/>
    <xf numFmtId="0" fontId="79" fillId="26" borderId="0" xfId="0" applyFont="1" applyFill="1" applyAlignment="1">
      <alignment horizontal="center"/>
    </xf>
    <xf numFmtId="0" fontId="80" fillId="40" borderId="0" xfId="0" applyFont="1" applyFill="1" applyAlignment="1">
      <alignment horizontal="right"/>
    </xf>
    <xf numFmtId="0" fontId="81" fillId="40" borderId="0" xfId="0" applyFont="1" applyFill="1" applyAlignment="1">
      <alignment horizontal="left"/>
    </xf>
    <xf numFmtId="0" fontId="81" fillId="40" borderId="0" xfId="0" applyFont="1" applyFill="1"/>
    <xf numFmtId="0" fontId="82" fillId="27" borderId="0" xfId="0" applyFont="1" applyFill="1"/>
    <xf numFmtId="0" fontId="83" fillId="3" borderId="4" xfId="0" applyFont="1" applyFill="1" applyBorder="1" applyAlignment="1">
      <alignment horizontal="center"/>
    </xf>
    <xf numFmtId="0" fontId="84" fillId="27" borderId="0" xfId="0" applyFont="1" applyFill="1"/>
    <xf numFmtId="10" fontId="9" fillId="3" borderId="0" xfId="0" applyNumberFormat="1" applyFont="1" applyFill="1" applyAlignment="1">
      <alignment horizontal="center"/>
    </xf>
    <xf numFmtId="10" fontId="83" fillId="3" borderId="4" xfId="0" applyNumberFormat="1" applyFont="1" applyFill="1" applyBorder="1" applyAlignment="1">
      <alignment horizontal="center"/>
    </xf>
    <xf numFmtId="0" fontId="85" fillId="5" borderId="0" xfId="0" applyFont="1" applyFill="1"/>
    <xf numFmtId="0" fontId="87" fillId="3" borderId="0" xfId="0" applyFont="1" applyFill="1" applyAlignment="1">
      <alignment horizontal="center"/>
    </xf>
    <xf numFmtId="0" fontId="87" fillId="3" borderId="0" xfId="0" applyFont="1" applyFill="1"/>
    <xf numFmtId="10" fontId="87" fillId="3" borderId="0" xfId="0" applyNumberFormat="1" applyFont="1" applyFill="1" applyAlignment="1">
      <alignment horizontal="center"/>
    </xf>
    <xf numFmtId="0" fontId="87" fillId="31" borderId="0" xfId="0" applyFont="1" applyFill="1" applyAlignment="1">
      <alignment horizontal="center"/>
    </xf>
    <xf numFmtId="0" fontId="87" fillId="10" borderId="0" xfId="0" applyFont="1" applyFill="1" applyAlignment="1">
      <alignment horizontal="center"/>
    </xf>
    <xf numFmtId="0" fontId="88" fillId="7" borderId="0" xfId="0" applyFont="1" applyFill="1" applyAlignment="1">
      <alignment horizontal="center"/>
    </xf>
    <xf numFmtId="0" fontId="89" fillId="10" borderId="0" xfId="0" applyFont="1" applyFill="1" applyAlignment="1">
      <alignment horizontal="center"/>
    </xf>
    <xf numFmtId="0" fontId="89" fillId="3" borderId="0" xfId="0" applyFont="1" applyFill="1" applyAlignment="1">
      <alignment horizontal="center"/>
    </xf>
    <xf numFmtId="0" fontId="89" fillId="31" borderId="0" xfId="0" applyFont="1" applyFill="1" applyAlignment="1">
      <alignment horizontal="center"/>
    </xf>
    <xf numFmtId="10" fontId="89" fillId="3" borderId="0" xfId="0" applyNumberFormat="1" applyFont="1" applyFill="1" applyAlignment="1">
      <alignment horizontal="center"/>
    </xf>
    <xf numFmtId="0" fontId="85" fillId="5" borderId="0" xfId="0" applyFont="1" applyFill="1" applyAlignment="1">
      <alignment horizontal="center"/>
    </xf>
    <xf numFmtId="2" fontId="87" fillId="3" borderId="0" xfId="0" applyNumberFormat="1" applyFont="1" applyFill="1" applyAlignment="1">
      <alignment horizontal="center"/>
    </xf>
    <xf numFmtId="0" fontId="90" fillId="27" borderId="0" xfId="0" applyFont="1" applyFill="1" applyAlignment="1">
      <alignment horizontal="center"/>
    </xf>
    <xf numFmtId="0" fontId="91" fillId="27" borderId="0" xfId="0" applyFont="1" applyFill="1"/>
    <xf numFmtId="0" fontId="87" fillId="31" borderId="0" xfId="0" applyFont="1" applyFill="1" applyAlignment="1">
      <alignment horizontal="right"/>
    </xf>
    <xf numFmtId="0" fontId="87" fillId="3" borderId="0" xfId="0" applyFont="1" applyFill="1" applyAlignment="1">
      <alignment horizontal="right"/>
    </xf>
    <xf numFmtId="0" fontId="84" fillId="27" borderId="0" xfId="0" applyFont="1" applyFill="1" applyAlignment="1">
      <alignment horizontal="center"/>
    </xf>
    <xf numFmtId="2" fontId="9" fillId="3" borderId="0" xfId="0" applyNumberFormat="1" applyFont="1" applyFill="1" applyAlignment="1">
      <alignment horizontal="center"/>
    </xf>
    <xf numFmtId="0" fontId="93" fillId="3" borderId="0" xfId="0" applyFont="1" applyFill="1" applyAlignment="1">
      <alignment horizontal="center"/>
    </xf>
    <xf numFmtId="0" fontId="94" fillId="3" borderId="0" xfId="0" applyFont="1" applyFill="1" applyAlignment="1">
      <alignment horizontal="center"/>
    </xf>
    <xf numFmtId="0" fontId="95" fillId="3" borderId="0" xfId="0" applyFont="1" applyFill="1" applyAlignment="1">
      <alignment horizontal="center"/>
    </xf>
    <xf numFmtId="0" fontId="96" fillId="3" borderId="0" xfId="0" applyFont="1" applyFill="1" applyAlignment="1">
      <alignment horizontal="center"/>
    </xf>
    <xf numFmtId="0" fontId="96" fillId="22" borderId="0" xfId="0" applyFont="1" applyFill="1"/>
    <xf numFmtId="0" fontId="86" fillId="12" borderId="0" xfId="0" applyFont="1" applyFill="1" applyAlignment="1">
      <alignment horizontal="center"/>
    </xf>
    <xf numFmtId="0" fontId="86" fillId="39" borderId="0" xfId="0" applyFont="1" applyFill="1" applyAlignment="1">
      <alignment horizontal="center"/>
    </xf>
    <xf numFmtId="0" fontId="92" fillId="43" borderId="0" xfId="0" applyFont="1" applyFill="1" applyAlignment="1">
      <alignment horizontal="center"/>
    </xf>
    <xf numFmtId="0" fontId="89" fillId="11" borderId="0" xfId="0" applyFont="1" applyFill="1" applyAlignment="1">
      <alignment horizontal="center"/>
    </xf>
    <xf numFmtId="0" fontId="89" fillId="42" borderId="0" xfId="0" applyFont="1" applyFill="1" applyAlignment="1">
      <alignment horizontal="center"/>
    </xf>
    <xf numFmtId="0" fontId="92" fillId="44" borderId="0" xfId="0" applyFont="1" applyFill="1" applyAlignment="1">
      <alignment horizontal="center"/>
    </xf>
    <xf numFmtId="0" fontId="89" fillId="27" borderId="5" xfId="0" applyFont="1" applyFill="1" applyBorder="1" applyAlignment="1">
      <alignment horizontal="center"/>
    </xf>
    <xf numFmtId="10" fontId="92" fillId="7" borderId="5" xfId="0" applyNumberFormat="1" applyFont="1" applyFill="1" applyBorder="1" applyAlignment="1">
      <alignment horizontal="center"/>
    </xf>
    <xf numFmtId="10" fontId="89" fillId="7" borderId="5" xfId="0" applyNumberFormat="1" applyFont="1" applyFill="1" applyBorder="1" applyAlignment="1">
      <alignment horizontal="center"/>
    </xf>
    <xf numFmtId="0" fontId="9" fillId="3" borderId="5" xfId="0" applyFont="1" applyFill="1" applyBorder="1"/>
    <xf numFmtId="0" fontId="9" fillId="21" borderId="5" xfId="0" applyFont="1" applyFill="1" applyBorder="1"/>
    <xf numFmtId="0" fontId="10" fillId="5" borderId="5" xfId="0" applyFont="1" applyFill="1" applyBorder="1" applyAlignment="1">
      <alignment horizontal="center"/>
    </xf>
    <xf numFmtId="0" fontId="61" fillId="33" borderId="0" xfId="0" applyFont="1" applyFill="1" applyAlignment="1">
      <alignment horizontal="left"/>
    </xf>
    <xf numFmtId="0" fontId="89" fillId="27" borderId="0" xfId="0" applyFont="1" applyFill="1"/>
    <xf numFmtId="0" fontId="89" fillId="27" borderId="0" xfId="0" applyFont="1" applyFill="1" applyAlignment="1">
      <alignment horizontal="right"/>
    </xf>
    <xf numFmtId="0" fontId="96" fillId="38" borderId="0" xfId="0" applyFont="1" applyFill="1"/>
    <xf numFmtId="0" fontId="87" fillId="8" borderId="0" xfId="0" applyFont="1" applyFill="1" applyAlignment="1">
      <alignment horizontal="center"/>
    </xf>
    <xf numFmtId="0" fontId="89" fillId="8" borderId="0" xfId="0" applyFont="1" applyFill="1" applyAlignment="1">
      <alignment horizontal="center"/>
    </xf>
    <xf numFmtId="0" fontId="86" fillId="7" borderId="0" xfId="0" applyFont="1" applyFill="1" applyAlignment="1">
      <alignment horizontal="center"/>
    </xf>
    <xf numFmtId="0" fontId="12" fillId="8" borderId="0" xfId="0" applyFont="1" applyFill="1"/>
    <xf numFmtId="0" fontId="9" fillId="8" borderId="0" xfId="0" applyFont="1" applyFill="1"/>
    <xf numFmtId="10" fontId="96" fillId="8" borderId="0" xfId="0" applyNumberFormat="1" applyFont="1" applyFill="1" applyAlignment="1">
      <alignment horizontal="right"/>
    </xf>
    <xf numFmtId="0" fontId="92" fillId="41" borderId="0" xfId="0" applyFont="1" applyFill="1" applyAlignment="1">
      <alignment horizontal="center"/>
    </xf>
    <xf numFmtId="0" fontId="86" fillId="7" borderId="0" xfId="0" applyFont="1" applyFill="1"/>
    <xf numFmtId="0" fontId="12" fillId="41" borderId="0" xfId="0" applyFont="1" applyFill="1"/>
    <xf numFmtId="0" fontId="9" fillId="45" borderId="0" xfId="0" applyFont="1" applyFill="1" applyAlignment="1">
      <alignment horizontal="center"/>
    </xf>
    <xf numFmtId="0" fontId="87" fillId="10" borderId="0" xfId="0" applyFont="1" applyFill="1"/>
    <xf numFmtId="0" fontId="12" fillId="10" borderId="0" xfId="0" applyFont="1" applyFill="1"/>
    <xf numFmtId="0" fontId="87" fillId="45" borderId="0" xfId="0" applyFont="1" applyFill="1"/>
    <xf numFmtId="0" fontId="61" fillId="45" borderId="0" xfId="0" applyFont="1" applyFill="1" applyAlignment="1">
      <alignment horizontal="center"/>
    </xf>
    <xf numFmtId="2" fontId="87" fillId="8" borderId="0" xfId="0" applyNumberFormat="1" applyFont="1" applyFill="1" applyAlignment="1">
      <alignment horizontal="center"/>
    </xf>
    <xf numFmtId="2" fontId="87" fillId="7" borderId="0" xfId="0" applyNumberFormat="1" applyFont="1" applyFill="1" applyAlignment="1">
      <alignment horizontal="center"/>
    </xf>
    <xf numFmtId="0" fontId="85" fillId="7" borderId="0" xfId="0" applyFont="1" applyFill="1" applyAlignment="1">
      <alignment horizontal="center"/>
    </xf>
    <xf numFmtId="2" fontId="85" fillId="7" borderId="0" xfId="0" applyNumberFormat="1" applyFont="1" applyFill="1" applyAlignment="1">
      <alignment horizontal="center"/>
    </xf>
    <xf numFmtId="10" fontId="90" fillId="45" borderId="0" xfId="0" applyNumberFormat="1" applyFont="1" applyFill="1" applyAlignment="1">
      <alignment horizontal="center"/>
    </xf>
    <xf numFmtId="2" fontId="90" fillId="8" borderId="0" xfId="0" applyNumberFormat="1" applyFont="1" applyFill="1" applyAlignment="1">
      <alignment horizontal="center"/>
    </xf>
    <xf numFmtId="0" fontId="61" fillId="38" borderId="0" xfId="0" applyFont="1" applyFill="1" applyAlignment="1">
      <alignment horizontal="center"/>
    </xf>
    <xf numFmtId="10" fontId="90" fillId="38" borderId="0" xfId="0" applyNumberFormat="1" applyFont="1" applyFill="1" applyAlignment="1">
      <alignment horizontal="center"/>
    </xf>
    <xf numFmtId="0" fontId="87" fillId="38" borderId="0" xfId="0" applyFont="1" applyFill="1"/>
    <xf numFmtId="0" fontId="85" fillId="7" borderId="0" xfId="0" applyFont="1" applyFill="1"/>
    <xf numFmtId="165" fontId="85" fillId="7" borderId="0" xfId="0" applyNumberFormat="1" applyFont="1" applyFill="1"/>
    <xf numFmtId="1" fontId="85" fillId="7" borderId="0" xfId="0" applyNumberFormat="1" applyFont="1" applyFill="1" applyAlignment="1">
      <alignment horizontal="center"/>
    </xf>
    <xf numFmtId="0" fontId="90" fillId="8" borderId="0" xfId="0" applyFont="1" applyFill="1" applyAlignment="1">
      <alignment horizontal="center"/>
    </xf>
    <xf numFmtId="0" fontId="90" fillId="8" borderId="0" xfId="0" applyFont="1" applyFill="1"/>
    <xf numFmtId="3" fontId="9" fillId="3" borderId="0" xfId="0" applyNumberFormat="1" applyFont="1" applyFill="1"/>
    <xf numFmtId="0" fontId="85" fillId="23" borderId="0" xfId="0" applyFont="1" applyFill="1"/>
    <xf numFmtId="165" fontId="57" fillId="5" borderId="0" xfId="0" applyNumberFormat="1" applyFont="1" applyFill="1" applyAlignment="1">
      <alignment horizontal="center"/>
    </xf>
    <xf numFmtId="0" fontId="86" fillId="5" borderId="0" xfId="0" applyFont="1" applyFill="1" applyAlignment="1">
      <alignment horizontal="right"/>
    </xf>
    <xf numFmtId="165" fontId="86" fillId="5" borderId="0" xfId="0" applyNumberFormat="1" applyFont="1" applyFill="1" applyAlignment="1">
      <alignment horizontal="right"/>
    </xf>
    <xf numFmtId="0" fontId="87" fillId="8" borderId="0" xfId="0" applyFont="1" applyFill="1" applyAlignment="1">
      <alignment horizontal="right"/>
    </xf>
    <xf numFmtId="2" fontId="87" fillId="8" borderId="0" xfId="0" applyNumberFormat="1" applyFont="1" applyFill="1" applyAlignment="1">
      <alignment horizontal="right"/>
    </xf>
    <xf numFmtId="166" fontId="87" fillId="8" borderId="0" xfId="0" applyNumberFormat="1" applyFont="1" applyFill="1" applyAlignment="1">
      <alignment horizontal="right"/>
    </xf>
    <xf numFmtId="165" fontId="87" fillId="8" borderId="0" xfId="0" applyNumberFormat="1" applyFont="1" applyFill="1" applyAlignment="1">
      <alignment horizontal="right"/>
    </xf>
    <xf numFmtId="0" fontId="86" fillId="46" borderId="0" xfId="0" applyFont="1" applyFill="1" applyAlignment="1">
      <alignment horizontal="right"/>
    </xf>
    <xf numFmtId="0" fontId="92" fillId="46" borderId="0" xfId="0" applyFont="1" applyFill="1" applyAlignment="1">
      <alignment horizontal="right"/>
    </xf>
    <xf numFmtId="0" fontId="87" fillId="6" borderId="0" xfId="0" applyFont="1" applyFill="1" applyAlignment="1">
      <alignment horizontal="right"/>
    </xf>
    <xf numFmtId="165" fontId="1" fillId="7" borderId="0" xfId="0" applyNumberFormat="1" applyFont="1" applyFill="1"/>
    <xf numFmtId="0" fontId="87" fillId="5" borderId="0" xfId="0" applyFont="1" applyFill="1" applyAlignment="1">
      <alignment horizontal="right"/>
    </xf>
    <xf numFmtId="0" fontId="87" fillId="7" borderId="0" xfId="0" applyFont="1" applyFill="1" applyAlignment="1">
      <alignment horizontal="right"/>
    </xf>
    <xf numFmtId="0" fontId="87" fillId="7" borderId="0" xfId="0" applyFont="1" applyFill="1" applyAlignment="1">
      <alignment horizontal="center"/>
    </xf>
    <xf numFmtId="0" fontId="96" fillId="3" borderId="0" xfId="0" applyFont="1" applyFill="1"/>
    <xf numFmtId="0" fontId="98" fillId="7" borderId="0" xfId="0" applyFont="1" applyFill="1" applyAlignment="1">
      <alignment horizontal="center"/>
    </xf>
    <xf numFmtId="2" fontId="98" fillId="7" borderId="0" xfId="0" applyNumberFormat="1" applyFont="1" applyFill="1" applyAlignment="1">
      <alignment horizontal="center"/>
    </xf>
    <xf numFmtId="1" fontId="98" fillId="5" borderId="0" xfId="0" applyNumberFormat="1" applyFont="1" applyFill="1" applyAlignment="1">
      <alignment horizontal="center"/>
    </xf>
    <xf numFmtId="0" fontId="98" fillId="5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0" fontId="0" fillId="7" borderId="0" xfId="0" applyFill="1"/>
    <xf numFmtId="0" fontId="67" fillId="28" borderId="0" xfId="0" applyFont="1" applyFill="1"/>
    <xf numFmtId="0" fontId="69" fillId="11" borderId="0" xfId="0" applyFont="1" applyFill="1" applyAlignment="1">
      <alignment horizontal="center"/>
    </xf>
    <xf numFmtId="0" fontId="69" fillId="18" borderId="0" xfId="0" applyFont="1" applyFill="1" applyAlignment="1">
      <alignment horizontal="center"/>
    </xf>
    <xf numFmtId="0" fontId="65" fillId="3" borderId="0" xfId="0" applyFont="1" applyFill="1" applyAlignment="1">
      <alignment horizontal="center"/>
    </xf>
    <xf numFmtId="0" fontId="69" fillId="10" borderId="0" xfId="0" applyFont="1" applyFill="1"/>
    <xf numFmtId="0" fontId="8" fillId="8" borderId="0" xfId="0" applyFont="1" applyFill="1"/>
    <xf numFmtId="0" fontId="6" fillId="8" borderId="0" xfId="0" applyFont="1" applyFill="1"/>
    <xf numFmtId="0" fontId="35" fillId="3" borderId="0" xfId="0" applyFont="1" applyFill="1" applyAlignment="1">
      <alignment horizontal="left"/>
    </xf>
    <xf numFmtId="0" fontId="8" fillId="31" borderId="0" xfId="0" applyFont="1" applyFill="1" applyAlignment="1">
      <alignment horizontal="center" vertical="center" wrapText="1"/>
    </xf>
    <xf numFmtId="0" fontId="6" fillId="31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11" fillId="7" borderId="0" xfId="0" applyFont="1" applyFill="1"/>
    <xf numFmtId="0" fontId="12" fillId="7" borderId="0" xfId="0" applyFont="1" applyFill="1"/>
    <xf numFmtId="0" fontId="67" fillId="12" borderId="0" xfId="0" applyFont="1" applyFill="1" applyAlignment="1">
      <alignment horizontal="left"/>
    </xf>
    <xf numFmtId="0" fontId="19" fillId="10" borderId="0" xfId="0" applyFont="1" applyFill="1" applyAlignment="1">
      <alignment horizontal="left"/>
    </xf>
    <xf numFmtId="0" fontId="67" fillId="5" borderId="0" xfId="0" applyFont="1" applyFill="1"/>
    <xf numFmtId="0" fontId="69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165" fontId="99" fillId="5" borderId="0" xfId="0" applyNumberFormat="1" applyFont="1" applyFill="1" applyAlignment="1">
      <alignment horizontal="right"/>
    </xf>
    <xf numFmtId="0" fontId="99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atau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'Hands On - Example'!$X$1</c:f>
              <c:strCache>
                <c:ptCount val="1"/>
                <c:pt idx="0">
                  <c:v>residual atau error / sisa variasi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'Hands On - Example'!$X$2:$X$51</c:f>
              <c:numCache>
                <c:formatCode>General</c:formatCode>
                <c:ptCount val="50"/>
                <c:pt idx="0">
                  <c:v>1972.5361071125371</c:v>
                </c:pt>
                <c:pt idx="1">
                  <c:v>3853.3488142506685</c:v>
                </c:pt>
                <c:pt idx="2">
                  <c:v>10933.732921926916</c:v>
                </c:pt>
                <c:pt idx="3">
                  <c:v>10532.98679410803</c:v>
                </c:pt>
                <c:pt idx="4">
                  <c:v>-4246.0334503195772</c:v>
                </c:pt>
                <c:pt idx="5">
                  <c:v>-4703.0768374123727</c:v>
                </c:pt>
                <c:pt idx="6">
                  <c:v>-7911.2150142105238</c:v>
                </c:pt>
                <c:pt idx="7">
                  <c:v>-4592.8672497152875</c:v>
                </c:pt>
                <c:pt idx="8">
                  <c:v>200.43619152903557</c:v>
                </c:pt>
                <c:pt idx="9">
                  <c:v>-4636.8628610256419</c:v>
                </c:pt>
                <c:pt idx="10">
                  <c:v>10025.586028951366</c:v>
                </c:pt>
                <c:pt idx="11">
                  <c:v>9223.3141352508974</c:v>
                </c:pt>
                <c:pt idx="12">
                  <c:v>12365.629189790227</c:v>
                </c:pt>
                <c:pt idx="13">
                  <c:v>6686.1458897102857</c:v>
                </c:pt>
                <c:pt idx="14">
                  <c:v>-18896.724075694743</c:v>
                </c:pt>
                <c:pt idx="15">
                  <c:v>-16952.390933013652</c:v>
                </c:pt>
                <c:pt idx="16">
                  <c:v>11314.104165647732</c:v>
                </c:pt>
                <c:pt idx="17">
                  <c:v>-4527.3241268263373</c:v>
                </c:pt>
                <c:pt idx="18">
                  <c:v>-3146.5148201362754</c:v>
                </c:pt>
                <c:pt idx="19">
                  <c:v>-83.643130372729502</c:v>
                </c:pt>
                <c:pt idx="20">
                  <c:v>4298.1162599718518</c:v>
                </c:pt>
                <c:pt idx="21">
                  <c:v>-4687.3269347187743</c:v>
                </c:pt>
                <c:pt idx="22">
                  <c:v>-1893.5632456660969</c:v>
                </c:pt>
                <c:pt idx="23">
                  <c:v>2008.6332220816257</c:v>
                </c:pt>
                <c:pt idx="24">
                  <c:v>-6298.8920667754574</c:v>
                </c:pt>
                <c:pt idx="25">
                  <c:v>3128.9371014873468</c:v>
                </c:pt>
                <c:pt idx="26">
                  <c:v>-7652.1627648234571</c:v>
                </c:pt>
                <c:pt idx="27">
                  <c:v>-5625.489600359404</c:v>
                </c:pt>
                <c:pt idx="28">
                  <c:v>-2177.7627146442974</c:v>
                </c:pt>
                <c:pt idx="29">
                  <c:v>-4074.4545915507479</c:v>
                </c:pt>
                <c:pt idx="30">
                  <c:v>-2056.6584510907123</c:v>
                </c:pt>
                <c:pt idx="31">
                  <c:v>-3777.6210256881313</c:v>
                </c:pt>
                <c:pt idx="32">
                  <c:v>-5774.7010803191515</c:v>
                </c:pt>
                <c:pt idx="33">
                  <c:v>338.01823443814646</c:v>
                </c:pt>
                <c:pt idx="34">
                  <c:v>8018.5098711467435</c:v>
                </c:pt>
                <c:pt idx="35">
                  <c:v>8137.2306305420789</c:v>
                </c:pt>
                <c:pt idx="36">
                  <c:v>17188.088032086875</c:v>
                </c:pt>
                <c:pt idx="37">
                  <c:v>3267.6628560430981</c:v>
                </c:pt>
                <c:pt idx="38">
                  <c:v>14914.196684117836</c:v>
                </c:pt>
                <c:pt idx="39">
                  <c:v>-967.34151050991204</c:v>
                </c:pt>
                <c:pt idx="40">
                  <c:v>4642.4348626209394</c:v>
                </c:pt>
                <c:pt idx="41">
                  <c:v>4937.2499924613367</c:v>
                </c:pt>
                <c:pt idx="42">
                  <c:v>2269.3483587794472</c:v>
                </c:pt>
                <c:pt idx="43">
                  <c:v>7479.66951964084</c:v>
                </c:pt>
                <c:pt idx="44">
                  <c:v>-2778.8210501766007</c:v>
                </c:pt>
                <c:pt idx="45">
                  <c:v>15038.693000793741</c:v>
                </c:pt>
                <c:pt idx="46">
                  <c:v>-665.9352680673037</c:v>
                </c:pt>
                <c:pt idx="47">
                  <c:v>-6473.1691412521322</c:v>
                </c:pt>
                <c:pt idx="48">
                  <c:v>-13822.557778869515</c:v>
                </c:pt>
                <c:pt idx="49">
                  <c:v>-34351.499141252134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72-4F85-A0AE-1CAF9D174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26223"/>
        <c:axId val="3972595"/>
      </c:scatterChart>
      <c:valAx>
        <c:axId val="3182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595"/>
        <c:crosses val="autoZero"/>
        <c:crossBetween val="midCat"/>
      </c:valAx>
      <c:valAx>
        <c:axId val="39725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atau error</a:t>
                </a:r>
              </a:p>
            </c:rich>
          </c:tx>
          <c:layout>
            <c:manualLayout>
              <c:xMode val="edge"/>
              <c:yMode val="edge"/>
              <c:x val="2.6158445440956652E-2"/>
              <c:y val="0.22618797650293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noFill/>
      <a:round/>
    </a:ln>
    <a:effectLst>
      <a:glow rad="139700">
        <a:schemeClr val="accent2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RESIDUAL WITH</a:t>
            </a:r>
            <a:r>
              <a:rPr lang="en-US" b="1" baseline="0">
                <a:solidFill>
                  <a:sysClr val="windowText" lastClr="000000"/>
                </a:solidFill>
              </a:rPr>
              <a:t> ACTUAL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'Hands-On'!$M$1</c:f>
              <c:strCache>
                <c:ptCount val="1"/>
                <c:pt idx="0">
                  <c:v>RESIDUAL WITH 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'Hands-On'!$M$2:$M$31</c:f>
              <c:numCache>
                <c:formatCode>General</c:formatCode>
                <c:ptCount val="30"/>
                <c:pt idx="0">
                  <c:v>0.12119718309859095</c:v>
                </c:pt>
                <c:pt idx="1">
                  <c:v>-0.32422535211267522</c:v>
                </c:pt>
                <c:pt idx="2">
                  <c:v>0.15119718309859209</c:v>
                </c:pt>
                <c:pt idx="3">
                  <c:v>0.19119718309859124</c:v>
                </c:pt>
                <c:pt idx="4">
                  <c:v>0.29119718309859088</c:v>
                </c:pt>
                <c:pt idx="5">
                  <c:v>-0.16422535211267508</c:v>
                </c:pt>
                <c:pt idx="6">
                  <c:v>0.60577464788732449</c:v>
                </c:pt>
                <c:pt idx="7">
                  <c:v>0.15119718309859209</c:v>
                </c:pt>
                <c:pt idx="8">
                  <c:v>-4.4225352112675864E-2</c:v>
                </c:pt>
                <c:pt idx="9">
                  <c:v>-1.4225352112674727E-2</c:v>
                </c:pt>
                <c:pt idx="10">
                  <c:v>9.1197183098591594E-2</c:v>
                </c:pt>
                <c:pt idx="11">
                  <c:v>-5.4225352112675651E-2</c:v>
                </c:pt>
                <c:pt idx="12">
                  <c:v>0.18119718309859145</c:v>
                </c:pt>
                <c:pt idx="13">
                  <c:v>2.577464788732442E-2</c:v>
                </c:pt>
                <c:pt idx="14">
                  <c:v>-0.30880281690140876</c:v>
                </c:pt>
                <c:pt idx="15">
                  <c:v>0.1557746478873252</c:v>
                </c:pt>
                <c:pt idx="16">
                  <c:v>0.24577464788732506</c:v>
                </c:pt>
                <c:pt idx="17">
                  <c:v>-0.19422535211267444</c:v>
                </c:pt>
                <c:pt idx="18">
                  <c:v>6.6197183098601897E-3</c:v>
                </c:pt>
                <c:pt idx="19">
                  <c:v>-0.2788028169014094</c:v>
                </c:pt>
                <c:pt idx="20">
                  <c:v>0.26577464788732463</c:v>
                </c:pt>
                <c:pt idx="21">
                  <c:v>-9.4225352112674798E-2</c:v>
                </c:pt>
                <c:pt idx="22">
                  <c:v>-0.26422535211267473</c:v>
                </c:pt>
                <c:pt idx="23">
                  <c:v>-9.4225352112674798E-2</c:v>
                </c:pt>
                <c:pt idx="24">
                  <c:v>-4.4225352112675864E-2</c:v>
                </c:pt>
                <c:pt idx="25">
                  <c:v>0.19119718309859124</c:v>
                </c:pt>
                <c:pt idx="26">
                  <c:v>-0.25880281690140805</c:v>
                </c:pt>
                <c:pt idx="27">
                  <c:v>-0.16880281690140819</c:v>
                </c:pt>
                <c:pt idx="28">
                  <c:v>-0.20880281690140912</c:v>
                </c:pt>
                <c:pt idx="29">
                  <c:v>-0.15880281690140841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E-4B15-A0B7-8069AF74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513711"/>
        <c:axId val="1386510831"/>
      </c:scatterChart>
      <c:valAx>
        <c:axId val="1386513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10831"/>
        <c:crosses val="autoZero"/>
        <c:crossBetween val="midCat"/>
      </c:valAx>
      <c:valAx>
        <c:axId val="13865108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1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63500" sx="102000" sy="102000" algn="ctr" rotWithShape="0">
        <a:schemeClr val="accent1">
          <a:lumMod val="75000"/>
          <a:alpha val="76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RESIDUAL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3840769903761"/>
          <c:y val="0.14999999999999997"/>
          <c:w val="0.81001159230096242"/>
          <c:h val="0.77129629629629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'All Star Player Data'!$O$1</c:f>
              <c:strCache>
                <c:ptCount val="1"/>
                <c:pt idx="0">
                  <c:v>RESIDUAL ERROR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'All Star Player Data'!$O$2:$O$31</c:f>
              <c:numCache>
                <c:formatCode>General</c:formatCode>
                <c:ptCount val="30"/>
                <c:pt idx="0">
                  <c:v>3518.7162832656832</c:v>
                </c:pt>
                <c:pt idx="1">
                  <c:v>-1326.994812810095</c:v>
                </c:pt>
                <c:pt idx="2">
                  <c:v>-1444.994812810095</c:v>
                </c:pt>
                <c:pt idx="3">
                  <c:v>748.29409111413406</c:v>
                </c:pt>
                <c:pt idx="4">
                  <c:v>-3186.8046910238991</c:v>
                </c:pt>
                <c:pt idx="5">
                  <c:v>-222.71335137572169</c:v>
                </c:pt>
                <c:pt idx="6">
                  <c:v>1647.0126296797534</c:v>
                </c:pt>
                <c:pt idx="7">
                  <c:v>-240.52322958952573</c:v>
                </c:pt>
                <c:pt idx="8">
                  <c:v>1703.1953089761009</c:v>
                </c:pt>
                <c:pt idx="9">
                  <c:v>-210.56517816869018</c:v>
                </c:pt>
                <c:pt idx="10">
                  <c:v>-1009.7059088858659</c:v>
                </c:pt>
                <c:pt idx="11">
                  <c:v>-590.9454217410821</c:v>
                </c:pt>
                <c:pt idx="12">
                  <c:v>778.71628326568316</c:v>
                </c:pt>
                <c:pt idx="13">
                  <c:v>2608.343482183147</c:v>
                </c:pt>
                <c:pt idx="14">
                  <c:v>-2512.2762742444756</c:v>
                </c:pt>
                <c:pt idx="15">
                  <c:v>667.71628326568316</c:v>
                </c:pt>
                <c:pt idx="16">
                  <c:v>1040.0545782589179</c:v>
                </c:pt>
                <c:pt idx="17">
                  <c:v>-4056.2343256653039</c:v>
                </c:pt>
                <c:pt idx="18">
                  <c:v>-516.09359494812088</c:v>
                </c:pt>
                <c:pt idx="19">
                  <c:v>-838.76274244473461</c:v>
                </c:pt>
                <c:pt idx="20">
                  <c:v>-1714.2343256653039</c:v>
                </c:pt>
                <c:pt idx="21">
                  <c:v>-3756.3750563825015</c:v>
                </c:pt>
                <c:pt idx="22">
                  <c:v>943.66689219667023</c:v>
                </c:pt>
                <c:pt idx="23">
                  <c:v>664.0545782589179</c:v>
                </c:pt>
                <c:pt idx="24">
                  <c:v>640.14591790708801</c:v>
                </c:pt>
                <c:pt idx="25">
                  <c:v>-1055.4738385205128</c:v>
                </c:pt>
                <c:pt idx="26">
                  <c:v>532.81506540370174</c:v>
                </c:pt>
                <c:pt idx="27">
                  <c:v>798.86445647271466</c:v>
                </c:pt>
                <c:pt idx="28">
                  <c:v>4092.3360396932912</c:v>
                </c:pt>
                <c:pt idx="29">
                  <c:v>2298.7656743346961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C-4AB9-A411-09C9D622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476639"/>
        <c:axId val="1423479519"/>
      </c:scatterChart>
      <c:valAx>
        <c:axId val="1423476639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423479519"/>
        <c:crosses val="autoZero"/>
        <c:crossBetween val="midCat"/>
      </c:valAx>
      <c:valAx>
        <c:axId val="142347951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42347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RESIDUAL WITH ACTUAL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/>
              <a:cs typeface="Arial"/>
            </a:rPr>
            <a:t>RESIDUAL WITH ACTUAL</a:t>
          </a:r>
        </a:p>
      </cx:txPr>
    </cx:title>
    <cx:plotArea>
      <cx:plotAreaRegion>
        <cx:series layoutId="clusteredColumn" uniqueId="{1C0C3CEA-873D-478E-B88F-FA9282318BD5}">
          <cx:tx>
            <cx:txData>
              <cx:f>_xlchart.v1.0</cx:f>
              <cx:v>RESIDUAL WITH ACTUAL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DEEEDC5E-C3C2-49B4-AACD-AB03D283E10F}">
          <cx:axisId val="2"/>
        </cx:series>
      </cx:plotAreaRegion>
      <cx:axis id="0">
        <cx:catScaling gapWidth="0"/>
        <cx:tickLabels/>
        <cx:numFmt formatCode="#,##0.00" sourceLinked="0"/>
      </cx:axis>
      <cx:axis id="1" hidden="1">
        <cx:valScaling/>
        <cx:tickLabels/>
        <cx:numFmt formatCode="#,##0.00" sourceLinked="0"/>
      </cx:axis>
      <cx:axis id="2">
        <cx:valScaling max="1" min="0"/>
        <cx:tickLabels/>
        <cx:numFmt formatCode="0%" sourceLinked="0"/>
      </cx:axis>
    </cx:plotArea>
  </cx:chart>
  <cx:spPr>
    <a:ln>
      <a:noFill/>
    </a:ln>
    <a:effectLst>
      <a:outerShdw blurRad="63500" sx="102000" sy="102000" algn="ctr" rotWithShape="0">
        <a:schemeClr val="accent1">
          <a:lumMod val="50000"/>
          <a:alpha val="80000"/>
        </a:scheme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RESIDUAL ERROR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all" spc="150" baseline="0">
              <a:solidFill>
                <a:schemeClr val="tx1"/>
              </a:solidFill>
              <a:latin typeface="Arial"/>
              <a:cs typeface="Arial"/>
            </a:rPr>
            <a:t>RESIDUAL ERROR</a:t>
          </a:r>
        </a:p>
      </cx:txPr>
    </cx:title>
    <cx:plotArea>
      <cx:plotAreaRegion>
        <cx:series layoutId="clusteredColumn" uniqueId="{6A7A0E8F-BAB1-4A1D-928F-A00DAAE73B85}">
          <cx:tx>
            <cx:txData>
              <cx:f>_xlchart.v1.2</cx:f>
              <cx:v>RESIDUAL ERROR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latin typeface="Rockwell" panose="02060603020205020403" pitchFamily="18" charset="0"/>
                <a:ea typeface="Rockwell" panose="02060603020205020403" pitchFamily="18" charset="0"/>
                <a:cs typeface="Rockwell" panose="02060603020205020403" pitchFamily="18" charset="0"/>
              </a:defRPr>
            </a:pPr>
            <a:endParaRPr lang="en-US" sz="10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Rockwell" panose="02060603020205020403" pitchFamily="18" charset="0"/>
              <a:cs typeface="Arial"/>
            </a:endParaRPr>
          </a:p>
        </cx:txPr>
      </cx:axis>
      <cx:axis id="1">
        <cx:valScaling/>
        <cx:tickLabels/>
        <cx:numFmt formatCode="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latin typeface="Rockwell" panose="02060603020205020403" pitchFamily="18" charset="0"/>
                <a:ea typeface="Rockwell" panose="02060603020205020403" pitchFamily="18" charset="0"/>
                <a:cs typeface="Rockwell" panose="02060603020205020403" pitchFamily="18" charset="0"/>
              </a:defRPr>
            </a:pPr>
            <a:endParaRPr lang="en-US" sz="10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Rockwell" panose="02060603020205020403" pitchFamily="18" charset="0"/>
              <a:cs typeface="Arial"/>
            </a:endParaRPr>
          </a:p>
        </cx:txPr>
      </cx:axis>
    </cx:plotArea>
  </cx:chart>
  <cx:spPr>
    <a:ln>
      <a:solidFill>
        <a:schemeClr val="lt1">
          <a:shade val="50000"/>
        </a:schemeClr>
      </a:solidFill>
    </a:ln>
    <a:effectLst>
      <a:outerShdw blurRad="63500" sx="102000" sy="102000" algn="ctr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0</xdr:colOff>
      <xdr:row>0</xdr:row>
      <xdr:rowOff>0</xdr:rowOff>
    </xdr:from>
    <xdr:ext cx="5562600" cy="2621280"/>
    <xdr:pic>
      <xdr:nvPicPr>
        <xdr:cNvPr id="937624658" name="Chart1" title="Diagram">
          <a:extLst>
            <a:ext uri="{FF2B5EF4-FFF2-40B4-BE49-F238E27FC236}">
              <a16:creationId xmlns:a16="http://schemas.microsoft.com/office/drawing/2014/main" id="{00000000-0008-0000-0000-00005204E33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78580" y="0"/>
          <a:ext cx="5562600" cy="2621280"/>
        </a:xfrm>
        <a:prstGeom prst="rect">
          <a:avLst/>
        </a:prstGeom>
        <a:solidFill>
          <a:schemeClr val="tx1"/>
        </a:solidFill>
        <a:effectLst>
          <a:glow rad="1397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 fLocksWithSheet="0"/>
  </xdr:oneCellAnchor>
  <xdr:oneCellAnchor>
    <xdr:from>
      <xdr:col>30</xdr:col>
      <xdr:colOff>914400</xdr:colOff>
      <xdr:row>20</xdr:row>
      <xdr:rowOff>0</xdr:rowOff>
    </xdr:from>
    <xdr:ext cx="4648200" cy="2667000"/>
    <xdr:graphicFrame macro="">
      <xdr:nvGraphicFramePr>
        <xdr:cNvPr id="2" name="Chart 2" title="Diagra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13</xdr:col>
      <xdr:colOff>320040</xdr:colOff>
      <xdr:row>14</xdr:row>
      <xdr:rowOff>30480</xdr:rowOff>
    </xdr:from>
    <xdr:to>
      <xdr:col>17</xdr:col>
      <xdr:colOff>83820</xdr:colOff>
      <xdr:row>24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FE52DF-C1D8-7621-9A47-E148BE232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71520" y="2857500"/>
          <a:ext cx="6339840" cy="211074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129540</xdr:colOff>
      <xdr:row>14</xdr:row>
      <xdr:rowOff>30480</xdr:rowOff>
    </xdr:from>
    <xdr:to>
      <xdr:col>20</xdr:col>
      <xdr:colOff>1943100</xdr:colOff>
      <xdr:row>25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1C29A9-0453-2301-55DF-95E8593C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7080" y="2857500"/>
          <a:ext cx="5913120" cy="21183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335280</xdr:colOff>
      <xdr:row>25</xdr:row>
      <xdr:rowOff>53340</xdr:rowOff>
    </xdr:from>
    <xdr:to>
      <xdr:col>17</xdr:col>
      <xdr:colOff>60959</xdr:colOff>
      <xdr:row>36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25A8EE-7F2B-2E01-6770-C5A387EE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86760" y="5029200"/>
          <a:ext cx="6301739" cy="202692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1173480</xdr:colOff>
      <xdr:row>37</xdr:row>
      <xdr:rowOff>30480</xdr:rowOff>
    </xdr:from>
    <xdr:to>
      <xdr:col>20</xdr:col>
      <xdr:colOff>1927860</xdr:colOff>
      <xdr:row>55</xdr:row>
      <xdr:rowOff>167640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102D8A-FB60-52A1-13F7-C872D61C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28480" y="7117080"/>
          <a:ext cx="6126480" cy="384048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91440</xdr:colOff>
      <xdr:row>25</xdr:row>
      <xdr:rowOff>43628</xdr:rowOff>
    </xdr:from>
    <xdr:to>
      <xdr:col>20</xdr:col>
      <xdr:colOff>1905000</xdr:colOff>
      <xdr:row>36</xdr:row>
      <xdr:rowOff>137160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02A5E5-EFC3-D2D1-C46B-C1CCC162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18980" y="5019488"/>
          <a:ext cx="5913120" cy="203663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320040</xdr:colOff>
      <xdr:row>37</xdr:row>
      <xdr:rowOff>0</xdr:rowOff>
    </xdr:from>
    <xdr:to>
      <xdr:col>16</xdr:col>
      <xdr:colOff>1135380</xdr:colOff>
      <xdr:row>49</xdr:row>
      <xdr:rowOff>30480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74A3A5-4CE1-0D6D-66EF-8B7EBA3B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71520" y="7086600"/>
          <a:ext cx="6118860" cy="24993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20</xdr:col>
      <xdr:colOff>1935480</xdr:colOff>
      <xdr:row>50</xdr:row>
      <xdr:rowOff>182880</xdr:rowOff>
    </xdr:from>
    <xdr:to>
      <xdr:col>25</xdr:col>
      <xdr:colOff>38100</xdr:colOff>
      <xdr:row>63</xdr:row>
      <xdr:rowOff>182880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38AEC6-B45F-7028-AA5F-D65A7280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62580" y="9944100"/>
          <a:ext cx="5471160" cy="2583180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25</xdr:col>
      <xdr:colOff>83820</xdr:colOff>
      <xdr:row>56</xdr:row>
      <xdr:rowOff>7620</xdr:rowOff>
    </xdr:from>
    <xdr:to>
      <xdr:col>27</xdr:col>
      <xdr:colOff>1059180</xdr:colOff>
      <xdr:row>69</xdr:row>
      <xdr:rowOff>175260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B4D2A6F-246A-AF15-DA14-792BAB02682B}"/>
            </a:ext>
          </a:extLst>
        </xdr:cNvPr>
        <xdr:cNvSpPr txBox="1"/>
      </xdr:nvSpPr>
      <xdr:spPr>
        <a:xfrm>
          <a:off x="33360360" y="11041380"/>
          <a:ext cx="4221480" cy="2621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Rockwell" panose="02060603020205020403" pitchFamily="18" charset="0"/>
            </a:rPr>
            <a:t>Untuk Mencari Profit Tertentu</a:t>
          </a:r>
          <a:r>
            <a:rPr lang="en-US" sz="1100" b="1" baseline="0">
              <a:latin typeface="Rockwell" panose="02060603020205020403" pitchFamily="18" charset="0"/>
            </a:rPr>
            <a:t> Dengan RnD sejumlah $ 250,000 Dengan Confidence Interval 95 % ) (CI OUTPUT) :</a:t>
          </a:r>
        </a:p>
        <a:p>
          <a:r>
            <a:rPr lang="en-US" sz="1100" baseline="0">
              <a:latin typeface="Trebuchet MS" panose="020B0603020202020204" pitchFamily="34" charset="0"/>
            </a:rPr>
            <a:t>1. Berapa Average Dari RnD;</a:t>
          </a:r>
        </a:p>
        <a:p>
          <a:r>
            <a:rPr lang="en-US" sz="1100" baseline="0">
              <a:latin typeface="Trebuchet MS" panose="020B0603020202020204" pitchFamily="34" charset="0"/>
            </a:rPr>
            <a:t>2. Berapa Total Deviasi Kuadratnya;</a:t>
          </a:r>
        </a:p>
        <a:p>
          <a:r>
            <a:rPr lang="en-US" sz="1100" baseline="0">
              <a:latin typeface="Trebuchet MS" panose="020B0603020202020204" pitchFamily="34" charset="0"/>
            </a:rPr>
            <a:t>3. Berapa Hasil dari Regresi untuk dapat Profit $ 250,000;</a:t>
          </a:r>
        </a:p>
        <a:p>
          <a:r>
            <a:rPr lang="en-US" sz="1100" baseline="0">
              <a:latin typeface="Trebuchet MS" panose="020B0603020202020204" pitchFamily="34" charset="0"/>
            </a:rPr>
            <a:t>4. Berapa Jumlah Datanya;</a:t>
          </a:r>
        </a:p>
        <a:p>
          <a:r>
            <a:rPr lang="en-US" sz="1100" baseline="0">
              <a:latin typeface="Trebuchet MS" panose="020B0603020202020204" pitchFamily="34" charset="0"/>
            </a:rPr>
            <a:t>5. Hitung Variabilitas untuk Data X0-nya;</a:t>
          </a:r>
        </a:p>
        <a:p>
          <a:r>
            <a:rPr lang="en-US" sz="1100" baseline="0">
              <a:latin typeface="Trebuchet MS" panose="020B0603020202020204" pitchFamily="34" charset="0"/>
            </a:rPr>
            <a:t>6. Hitung s sebagai standard error-nya terhadap SE;</a:t>
          </a:r>
        </a:p>
        <a:p>
          <a:r>
            <a:rPr lang="en-US" sz="1100" baseline="0">
              <a:latin typeface="Trebuchet MS" panose="020B0603020202020204" pitchFamily="34" charset="0"/>
            </a:rPr>
            <a:t>7. Berapa hasil dari SE;</a:t>
          </a:r>
        </a:p>
        <a:p>
          <a:r>
            <a:rPr lang="en-US" sz="1100" baseline="0">
              <a:latin typeface="Trebuchet MS" panose="020B0603020202020204" pitchFamily="34" charset="0"/>
            </a:rPr>
            <a:t>8.Berapa T-student untuk Alpha 0.05 % dengan Total data 48 (Karena untuk menjaga keseimbangan proporsi karena adanya pengaruh dari Slope dan Intercept);</a:t>
          </a:r>
        </a:p>
        <a:p>
          <a:r>
            <a:rPr lang="en-US" sz="1100" baseline="0">
              <a:latin typeface="Trebuchet MS" panose="020B0603020202020204" pitchFamily="34" charset="0"/>
            </a:rPr>
            <a:t>9. Hitung MOE-nya (Margin Of Error-nya);</a:t>
          </a:r>
        </a:p>
        <a:p>
          <a:r>
            <a:rPr lang="en-US" sz="1100" baseline="0">
              <a:latin typeface="Trebuchet MS" panose="020B0603020202020204" pitchFamily="34" charset="0"/>
            </a:rPr>
            <a:t>10. Tentukan Prediksi X0 batas Bawah dan Batas Atas.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13</xdr:col>
      <xdr:colOff>320040</xdr:colOff>
      <xdr:row>49</xdr:row>
      <xdr:rowOff>53341</xdr:rowOff>
    </xdr:from>
    <xdr:to>
      <xdr:col>16</xdr:col>
      <xdr:colOff>1143000</xdr:colOff>
      <xdr:row>55</xdr:row>
      <xdr:rowOff>167641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BE277E9-B1C8-3E09-61A8-1B994C03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71520" y="9608821"/>
          <a:ext cx="6126480" cy="134874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20</xdr:col>
      <xdr:colOff>1943099</xdr:colOff>
      <xdr:row>64</xdr:row>
      <xdr:rowOff>0</xdr:rowOff>
    </xdr:from>
    <xdr:to>
      <xdr:col>25</xdr:col>
      <xdr:colOff>53340</xdr:colOff>
      <xdr:row>78</xdr:row>
      <xdr:rowOff>61327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2C5EF5-9249-AD21-D7F8-E53C37A8C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270199" y="12534900"/>
          <a:ext cx="5478781" cy="2629267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21</xdr:col>
      <xdr:colOff>0</xdr:colOff>
      <xdr:row>78</xdr:row>
      <xdr:rowOff>76200</xdr:rowOff>
    </xdr:from>
    <xdr:to>
      <xdr:col>25</xdr:col>
      <xdr:colOff>76200</xdr:colOff>
      <xdr:row>80</xdr:row>
      <xdr:rowOff>106680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CA5695-B551-CC6B-AB2B-38223CADA82E}"/>
            </a:ext>
          </a:extLst>
        </xdr:cNvPr>
        <xdr:cNvSpPr txBox="1"/>
      </xdr:nvSpPr>
      <xdr:spPr>
        <a:xfrm>
          <a:off x="28277820" y="15179040"/>
          <a:ext cx="5494020" cy="39624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Rockwell" panose="02060603020205020403" pitchFamily="18" charset="0"/>
            </a:rPr>
            <a:t>UNTUK MENGETAHUI CI INPUT IALAH DI BAWAH INI RUMUSNYA :</a:t>
          </a:r>
        </a:p>
      </xdr:txBody>
    </xdr:sp>
    <xdr:clientData/>
  </xdr:twoCellAnchor>
  <xdr:twoCellAnchor editAs="oneCell">
    <xdr:from>
      <xdr:col>20</xdr:col>
      <xdr:colOff>1943100</xdr:colOff>
      <xdr:row>80</xdr:row>
      <xdr:rowOff>114300</xdr:rowOff>
    </xdr:from>
    <xdr:to>
      <xdr:col>25</xdr:col>
      <xdr:colOff>76200</xdr:colOff>
      <xdr:row>90</xdr:row>
      <xdr:rowOff>51673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67A510-F745-7A94-E920-D4BDF02C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270200" y="15582900"/>
          <a:ext cx="5501640" cy="1705213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21</xdr:col>
      <xdr:colOff>0</xdr:colOff>
      <xdr:row>90</xdr:row>
      <xdr:rowOff>45720</xdr:rowOff>
    </xdr:from>
    <xdr:to>
      <xdr:col>25</xdr:col>
      <xdr:colOff>83820</xdr:colOff>
      <xdr:row>98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D7F8D8-A5F6-22BE-4712-576C9AD16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277820" y="17282160"/>
          <a:ext cx="5501640" cy="1402080"/>
        </a:xfrm>
        <a:prstGeom prst="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25</xdr:col>
      <xdr:colOff>60960</xdr:colOff>
      <xdr:row>71</xdr:row>
      <xdr:rowOff>15240</xdr:rowOff>
    </xdr:from>
    <xdr:to>
      <xdr:col>30</xdr:col>
      <xdr:colOff>0</xdr:colOff>
      <xdr:row>73</xdr:row>
      <xdr:rowOff>45720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AA95017-5996-46E5-A2D4-51C1DE8592D7}"/>
            </a:ext>
          </a:extLst>
        </xdr:cNvPr>
        <xdr:cNvSpPr txBox="1"/>
      </xdr:nvSpPr>
      <xdr:spPr>
        <a:xfrm>
          <a:off x="33756600" y="13891260"/>
          <a:ext cx="12733020" cy="365760"/>
        </a:xfrm>
        <a:prstGeom prst="rect">
          <a:avLst/>
        </a:prstGeom>
        <a:solidFill>
          <a:schemeClr val="accent2"/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bg1"/>
              </a:solidFill>
              <a:latin typeface="Rockwell" panose="02060603020205020403" pitchFamily="18" charset="0"/>
            </a:rPr>
            <a:t>APABILA INGIN</a:t>
          </a:r>
          <a:r>
            <a:rPr lang="en-US" sz="1200" baseline="0">
              <a:solidFill>
                <a:schemeClr val="bg1"/>
              </a:solidFill>
              <a:latin typeface="Rockwell" panose="02060603020205020403" pitchFamily="18" charset="0"/>
            </a:rPr>
            <a:t> MENCARI</a:t>
          </a:r>
          <a:r>
            <a:rPr lang="en-US" sz="1200">
              <a:solidFill>
                <a:schemeClr val="bg1"/>
              </a:solidFill>
              <a:latin typeface="Rockwell" panose="02060603020205020403" pitchFamily="18" charset="0"/>
            </a:rPr>
            <a:t> </a:t>
          </a:r>
          <a:r>
            <a:rPr lang="en-US" sz="1200" b="1">
              <a:solidFill>
                <a:schemeClr val="bg1"/>
              </a:solidFill>
              <a:latin typeface="Rockwell" panose="02060603020205020403" pitchFamily="18" charset="0"/>
            </a:rPr>
            <a:t>INTERVAL</a:t>
          </a:r>
          <a:r>
            <a:rPr lang="en-US" sz="1200" b="1" baseline="0">
              <a:solidFill>
                <a:schemeClr val="bg1"/>
              </a:solidFill>
              <a:latin typeface="Rockwell" panose="02060603020205020403" pitchFamily="18" charset="0"/>
            </a:rPr>
            <a:t> </a:t>
          </a:r>
          <a:r>
            <a:rPr lang="en-US" sz="1200" b="1">
              <a:solidFill>
                <a:schemeClr val="bg1"/>
              </a:solidFill>
              <a:latin typeface="Rockwell" panose="02060603020205020403" pitchFamily="18" charset="0"/>
            </a:rPr>
            <a:t>R&amp;D SPEND (X)</a:t>
          </a:r>
          <a:r>
            <a:rPr lang="en-US" sz="1200">
              <a:solidFill>
                <a:schemeClr val="bg1"/>
              </a:solidFill>
              <a:latin typeface="Rockwell" panose="02060603020205020403" pitchFamily="18" charset="0"/>
            </a:rPr>
            <a:t> YANG </a:t>
          </a:r>
          <a:r>
            <a:rPr lang="en-US" sz="1200" b="1">
              <a:solidFill>
                <a:schemeClr val="bg1"/>
              </a:solidFill>
              <a:latin typeface="Rockwell" panose="02060603020205020403" pitchFamily="18" charset="0"/>
            </a:rPr>
            <a:t>BERKAITAN</a:t>
          </a:r>
          <a:r>
            <a:rPr lang="en-US" sz="1200" b="1" baseline="0">
              <a:solidFill>
                <a:schemeClr val="bg1"/>
              </a:solidFill>
              <a:latin typeface="Rockwell" panose="02060603020205020403" pitchFamily="18" charset="0"/>
            </a:rPr>
            <a:t> DENGAN</a:t>
          </a:r>
          <a:r>
            <a:rPr lang="en-US" sz="1200" b="1">
              <a:solidFill>
                <a:schemeClr val="bg1"/>
              </a:solidFill>
              <a:latin typeface="Rockwell" panose="02060603020205020403" pitchFamily="18" charset="0"/>
            </a:rPr>
            <a:t> PROFIT (Y) =  $ 250,000</a:t>
          </a:r>
          <a:r>
            <a:rPr lang="en-US" sz="1200">
              <a:solidFill>
                <a:schemeClr val="bg1"/>
              </a:solidFill>
              <a:latin typeface="Rockwell" panose="02060603020205020403" pitchFamily="18" charset="0"/>
            </a:rPr>
            <a:t>.</a:t>
          </a:r>
          <a:endParaRPr lang="en-US" sz="1200" b="1">
            <a:solidFill>
              <a:schemeClr val="bg1"/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30</xdr:col>
      <xdr:colOff>0</xdr:colOff>
      <xdr:row>56</xdr:row>
      <xdr:rowOff>0</xdr:rowOff>
    </xdr:from>
    <xdr:to>
      <xdr:col>33</xdr:col>
      <xdr:colOff>0</xdr:colOff>
      <xdr:row>73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E11877-A670-A32C-CD66-BFA657E96CBF}"/>
            </a:ext>
          </a:extLst>
        </xdr:cNvPr>
        <xdr:cNvSpPr txBox="1"/>
      </xdr:nvSpPr>
      <xdr:spPr>
        <a:xfrm>
          <a:off x="47396400" y="11033760"/>
          <a:ext cx="5562600" cy="3215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latin typeface="Rockwell" panose="02060603020205020403" pitchFamily="18" charset="0"/>
            </a:rPr>
            <a:t>KONKLUSI:</a:t>
          </a:r>
          <a:br>
            <a:rPr lang="en-US" sz="1200">
              <a:latin typeface="Rockwell" panose="02060603020205020403" pitchFamily="18" charset="0"/>
            </a:rPr>
          </a:br>
          <a:r>
            <a:rPr lang="en-US" sz="1200"/>
            <a:t>Berdasarkan hasil analisis regresi linear yang telah dilakukan, perusahaan dapat menggunakan model tersebut sebagai dasar untuk memperkirakan hubungan antara biaya R&amp;D dan profit.</a:t>
          </a:r>
          <a:br>
            <a:rPr lang="en-US" sz="1200"/>
          </a:br>
          <a:r>
            <a:rPr lang="en-US" sz="1200"/>
            <a:t>Melalui </a:t>
          </a:r>
          <a:r>
            <a:rPr lang="en-US" sz="1200" b="1"/>
            <a:t>Confidence Interval (CI) Output</a:t>
          </a:r>
          <a:r>
            <a:rPr lang="en-US" sz="1200"/>
            <a:t>, dengan tingkat keyakinan 95%, diperoleh bahwa </a:t>
          </a:r>
          <a:r>
            <a:rPr lang="en-US" sz="1200" b="1"/>
            <a:t>jika perusahaan mengeluarkan biaya R&amp;D sebesar $250,000</a:t>
          </a:r>
          <a:r>
            <a:rPr lang="en-US" sz="1200"/>
            <a:t>, maka </a:t>
          </a:r>
          <a:r>
            <a:rPr lang="en-US" sz="1200" b="1"/>
            <a:t>estimasi profit yang dapat dicapai berada pada kisaran</a:t>
          </a:r>
          <a:r>
            <a:rPr lang="en-US" sz="1200" b="1" baseline="0"/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           251,158.61 </a:t>
          </a:r>
          <a:r>
            <a:rPr lang="en-US" sz="1200" b="1"/>
            <a:t>hingga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$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274,052.87</a:t>
          </a:r>
          <a:r>
            <a:rPr lang="en-US" sz="1200"/>
            <a:t>.</a:t>
          </a:r>
          <a:br>
            <a:rPr lang="en-US" sz="1200"/>
          </a:br>
          <a:r>
            <a:rPr lang="en-US" sz="1200"/>
            <a:t>Sebaliknya, melalui </a:t>
          </a:r>
          <a:r>
            <a:rPr lang="en-US" sz="1200" b="1"/>
            <a:t>Confidence Interval (CI) Input</a:t>
          </a:r>
          <a:r>
            <a:rPr lang="en-US" sz="1200"/>
            <a:t>, dengan tingkat keyakinan yang sama, </a:t>
          </a:r>
          <a:r>
            <a:rPr lang="en-US" sz="1200" b="1"/>
            <a:t>apabila perusahaan menargetkan profit sebesar $250,000</a:t>
          </a:r>
          <a:r>
            <a:rPr lang="en-US" sz="1200"/>
            <a:t>, maka </a:t>
          </a:r>
          <a:r>
            <a:rPr lang="en-US" sz="1200" b="1"/>
            <a:t>estimasi biaya R&amp;D yang diperlukan berkisar antara $223,671.08 hingga $246,817.35</a:t>
          </a:r>
          <a:r>
            <a:rPr lang="en-US" sz="1200"/>
            <a:t>.</a:t>
          </a:r>
        </a:p>
        <a:p>
          <a:pPr algn="ctr"/>
          <a:r>
            <a:rPr lang="en-US" sz="1200"/>
            <a:t>Dengan demikian, hasil analisis ini dapat digunakan sebagai acuan bagi perusahaan dalam </a:t>
          </a:r>
          <a:r>
            <a:rPr lang="en-US" sz="1200" b="1"/>
            <a:t>menentukan strategi penganggaran R&amp;D</a:t>
          </a:r>
          <a:r>
            <a:rPr lang="en-US" sz="1200"/>
            <a:t> agar lebih efisien dan </a:t>
          </a:r>
          <a:r>
            <a:rPr lang="en-US" sz="1200" b="1"/>
            <a:t>memperkirakan potensi profit secara terukur dan realistis</a:t>
          </a:r>
          <a:r>
            <a:rPr lang="en-US" sz="1200"/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24</xdr:row>
      <xdr:rowOff>30480</xdr:rowOff>
    </xdr:from>
    <xdr:to>
      <xdr:col>9</xdr:col>
      <xdr:colOff>0</xdr:colOff>
      <xdr:row>28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6CE05-2EEF-B40E-64FC-BD75F8967D35}"/>
            </a:ext>
          </a:extLst>
        </xdr:cNvPr>
        <xdr:cNvSpPr txBox="1"/>
      </xdr:nvSpPr>
      <xdr:spPr>
        <a:xfrm>
          <a:off x="4937760" y="4503420"/>
          <a:ext cx="6941820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schemeClr val="accent1">
              <a:lumMod val="75000"/>
              <a:alpha val="7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APABILA R-SQUARE &gt;= 80 % maka Cukup Bisa</a:t>
          </a:r>
          <a:r>
            <a:rPr lang="en-US" sz="1100" baseline="0"/>
            <a:t> Dianggap Bahwa Model bisa menjelaskan adanya KORELASI antara Age dengan Face Width. Jika &lt; 70 % maka Skip Saja. Karena belum cukup bisa mempresentasikan data dengan cukup bagus. </a:t>
          </a:r>
          <a:endParaRPr lang="en-US" sz="1100"/>
        </a:p>
      </xdr:txBody>
    </xdr:sp>
    <xdr:clientData/>
  </xdr:twoCellAnchor>
  <xdr:twoCellAnchor>
    <xdr:from>
      <xdr:col>17</xdr:col>
      <xdr:colOff>22860</xdr:colOff>
      <xdr:row>5</xdr:row>
      <xdr:rowOff>0</xdr:rowOff>
    </xdr:from>
    <xdr:to>
      <xdr:col>19</xdr:col>
      <xdr:colOff>891540</xdr:colOff>
      <xdr:row>20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973D429-F9AC-4228-64E5-4DB349B2BA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24820" y="1021080"/>
              <a:ext cx="43510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944880</xdr:colOff>
      <xdr:row>5</xdr:row>
      <xdr:rowOff>0</xdr:rowOff>
    </xdr:from>
    <xdr:to>
      <xdr:col>23</xdr:col>
      <xdr:colOff>502920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41A2CF-69DC-62E5-5DA1-1689666CB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21</xdr:row>
      <xdr:rowOff>0</xdr:rowOff>
    </xdr:from>
    <xdr:to>
      <xdr:col>23</xdr:col>
      <xdr:colOff>723900</xdr:colOff>
      <xdr:row>27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34A729-52EE-F744-2E9D-78CE91F8761B}"/>
            </a:ext>
          </a:extLst>
        </xdr:cNvPr>
        <xdr:cNvSpPr txBox="1"/>
      </xdr:nvSpPr>
      <xdr:spPr>
        <a:xfrm>
          <a:off x="29664660" y="3909060"/>
          <a:ext cx="3329940" cy="1264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schemeClr val="accent6">
              <a:lumMod val="75000"/>
              <a:alpha val="75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atin typeface="Rockwell" panose="02060603020205020403" pitchFamily="18" charset="0"/>
            </a:rPr>
            <a:t>Setelah</a:t>
          </a:r>
          <a:r>
            <a:rPr lang="en-US" sz="1100" b="1" baseline="0">
              <a:latin typeface="Rockwell" panose="02060603020205020403" pitchFamily="18" charset="0"/>
            </a:rPr>
            <a:t> Melakukan Perhitungan dengan</a:t>
          </a:r>
          <a:r>
            <a:rPr lang="en-US" sz="1100" b="1">
              <a:latin typeface="Rockwell" panose="02060603020205020403" pitchFamily="18" charset="0"/>
            </a:rPr>
            <a:t> mempertimbangkan parameter-parameter</a:t>
          </a:r>
          <a:r>
            <a:rPr lang="en-US" sz="1100" b="1" baseline="0">
              <a:latin typeface="Rockwell" panose="02060603020205020403" pitchFamily="18" charset="0"/>
            </a:rPr>
            <a:t> tersebut</a:t>
          </a:r>
          <a:r>
            <a:rPr lang="en-US" sz="1100" b="1">
              <a:latin typeface="Rockwell" panose="02060603020205020403" pitchFamily="18" charset="0"/>
            </a:rPr>
            <a:t> dan asumsi-asumsi yang dibutuhkan dalam model regresi linear, model tersebut </a:t>
          </a:r>
          <a:r>
            <a:rPr lang="en-US" sz="1100" b="1">
              <a:solidFill>
                <a:schemeClr val="accent4">
                  <a:lumMod val="75000"/>
                </a:schemeClr>
              </a:solidFill>
              <a:latin typeface="Rockwell" panose="02060603020205020403" pitchFamily="18" charset="0"/>
            </a:rPr>
            <a:t>Sudah Sedikit</a:t>
          </a:r>
          <a:r>
            <a:rPr lang="en-US" sz="1100" b="1" baseline="0">
              <a:solidFill>
                <a:schemeClr val="accent4">
                  <a:lumMod val="75000"/>
                </a:schemeClr>
              </a:solidFill>
              <a:latin typeface="Rockwell" panose="02060603020205020403" pitchFamily="18" charset="0"/>
            </a:rPr>
            <a:t> Cukup Baik</a:t>
          </a:r>
          <a:r>
            <a:rPr lang="en-US" sz="1100" b="1">
              <a:solidFill>
                <a:schemeClr val="accent4">
                  <a:lumMod val="75000"/>
                </a:schemeClr>
              </a:solidFill>
              <a:latin typeface="Rockwell" panose="02060603020205020403" pitchFamily="18" charset="0"/>
            </a:rPr>
            <a:t> </a:t>
          </a:r>
          <a:r>
            <a:rPr lang="en-US" sz="1100" b="1">
              <a:latin typeface="Rockwell" panose="02060603020205020403" pitchFamily="18" charset="0"/>
            </a:rPr>
            <a:t>untuk memprediksi Korelasi</a:t>
          </a:r>
          <a:r>
            <a:rPr lang="en-US" sz="1100" b="1" baseline="0">
              <a:latin typeface="Rockwell" panose="02060603020205020403" pitchFamily="18" charset="0"/>
            </a:rPr>
            <a:t> antara Face Width</a:t>
          </a:r>
          <a:r>
            <a:rPr lang="en-US" sz="1100" b="1">
              <a:latin typeface="Rockwell" panose="02060603020205020403" pitchFamily="18" charset="0"/>
            </a:rPr>
            <a:t> dengan menggunakan Prediktor (x) : Age.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99060</xdr:rowOff>
    </xdr:from>
    <xdr:to>
      <xdr:col>10</xdr:col>
      <xdr:colOff>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AC0BE6-0B70-6488-913D-1A9CDA0EC238}"/>
            </a:ext>
          </a:extLst>
        </xdr:cNvPr>
        <xdr:cNvSpPr txBox="1"/>
      </xdr:nvSpPr>
      <xdr:spPr>
        <a:xfrm>
          <a:off x="4343400" y="1303020"/>
          <a:ext cx="6377940" cy="23622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schemeClr val="accent6">
              <a:lumMod val="60000"/>
              <a:lumOff val="40000"/>
              <a:alpha val="81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latin typeface="Rockwell" panose="02060603020205020403" pitchFamily="18" charset="0"/>
            </a:rPr>
            <a:t>CEK VARIABEL</a:t>
          </a:r>
          <a:r>
            <a:rPr lang="en-US" sz="1100" baseline="0">
              <a:latin typeface="Rockwell" panose="02060603020205020403" pitchFamily="18" charset="0"/>
            </a:rPr>
            <a:t> UNTUK MEMBUAT MODEL REGRESI YANG PALING COCOK</a:t>
          </a:r>
          <a:endParaRPr lang="en-US" sz="1100">
            <a:latin typeface="Rockwell" panose="02060603020205020403" pitchFamily="18" charset="0"/>
          </a:endParaRPr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BA0DC8-A06D-4FEE-9A0D-6266ED9A9B16}"/>
            </a:ext>
          </a:extLst>
        </xdr:cNvPr>
        <xdr:cNvSpPr txBox="1"/>
      </xdr:nvSpPr>
      <xdr:spPr>
        <a:xfrm>
          <a:off x="4343400" y="3124200"/>
          <a:ext cx="6377940" cy="3352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schemeClr val="accent6">
              <a:lumMod val="60000"/>
              <a:lumOff val="40000"/>
              <a:alpha val="73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Rockwell" panose="02060603020205020403" pitchFamily="18" charset="0"/>
            </a:rPr>
            <a:t>HASIL</a:t>
          </a:r>
          <a:r>
            <a:rPr lang="en-US" sz="1600" b="1" baseline="0">
              <a:latin typeface="Rockwell" panose="02060603020205020403" pitchFamily="18" charset="0"/>
            </a:rPr>
            <a:t> LINEST</a:t>
          </a:r>
          <a:endParaRPr lang="en-US" sz="1600" b="1">
            <a:latin typeface="Rockwell" panose="02060603020205020403" pitchFamily="18" charset="0"/>
          </a:endParaRPr>
        </a:p>
      </xdr:txBody>
    </xdr:sp>
    <xdr:clientData/>
  </xdr:twoCellAnchor>
  <xdr:twoCellAnchor>
    <xdr:from>
      <xdr:col>26</xdr:col>
      <xdr:colOff>0</xdr:colOff>
      <xdr:row>1</xdr:row>
      <xdr:rowOff>76200</xdr:rowOff>
    </xdr:from>
    <xdr:to>
      <xdr:col>26</xdr:col>
      <xdr:colOff>2613660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88F191-8E04-C0F2-60C8-D8A6D131ABCA}"/>
            </a:ext>
          </a:extLst>
        </xdr:cNvPr>
        <xdr:cNvSpPr txBox="1"/>
      </xdr:nvSpPr>
      <xdr:spPr>
        <a:xfrm>
          <a:off x="32583120" y="274320"/>
          <a:ext cx="2613660" cy="27432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Rockwell" panose="02060603020205020403" pitchFamily="18" charset="0"/>
            </a:rPr>
            <a:t>UJI ASUMSI</a:t>
          </a:r>
        </a:p>
      </xdr:txBody>
    </xdr:sp>
    <xdr:clientData/>
  </xdr:twoCellAnchor>
  <xdr:twoCellAnchor>
    <xdr:from>
      <xdr:col>22</xdr:col>
      <xdr:colOff>0</xdr:colOff>
      <xdr:row>7</xdr:row>
      <xdr:rowOff>0</xdr:rowOff>
    </xdr:from>
    <xdr:to>
      <xdr:col>25</xdr:col>
      <xdr:colOff>807720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77880D2-8D51-94AE-238E-00F50C579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16760" y="1310640"/>
              <a:ext cx="5242560" cy="2880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853440</xdr:colOff>
      <xdr:row>7</xdr:row>
      <xdr:rowOff>0</xdr:rowOff>
    </xdr:from>
    <xdr:to>
      <xdr:col>27</xdr:col>
      <xdr:colOff>0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791DB3-DC98-54B7-6691-7DC2413AE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4069080</xdr:colOff>
      <xdr:row>32</xdr:row>
      <xdr:rowOff>53340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AEA8E7-6CAE-663A-8E7F-67774D286510}"/>
            </a:ext>
          </a:extLst>
        </xdr:cNvPr>
        <xdr:cNvSpPr txBox="1"/>
      </xdr:nvSpPr>
      <xdr:spPr>
        <a:xfrm>
          <a:off x="32583120" y="5920740"/>
          <a:ext cx="4069080" cy="251460"/>
        </a:xfrm>
        <a:prstGeom prst="rect">
          <a:avLst/>
        </a:prstGeom>
        <a:solidFill>
          <a:schemeClr val="tx1"/>
        </a:solidFill>
        <a:ln w="9525" cmpd="sng">
          <a:noFill/>
        </a:ln>
        <a:effectLst>
          <a:outerShdw blurRad="63500" sx="102000" sy="102000" algn="ctr" rotWithShape="0">
            <a:schemeClr val="bg1">
              <a:alpha val="79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Rockwell" panose="02060603020205020403" pitchFamily="18" charset="0"/>
            </a:rPr>
            <a:t>SKOR ----------------</a:t>
          </a:r>
          <a:r>
            <a:rPr lang="en-US" sz="1100" baseline="0">
              <a:solidFill>
                <a:schemeClr val="bg1"/>
              </a:solidFill>
              <a:latin typeface="Rockwell" panose="02060603020205020403" pitchFamily="18" charset="0"/>
            </a:rPr>
            <a:t> (</a:t>
          </a:r>
          <a:r>
            <a:rPr lang="en-US" sz="1100" baseline="0">
              <a:solidFill>
                <a:schemeClr val="accent4"/>
              </a:solidFill>
              <a:latin typeface="Rockwell" panose="02060603020205020403" pitchFamily="18" charset="0"/>
            </a:rPr>
            <a:t>4 TERPENUHI </a:t>
          </a:r>
          <a:r>
            <a:rPr lang="en-US" sz="1100" baseline="0">
              <a:solidFill>
                <a:schemeClr val="bg1"/>
              </a:solidFill>
              <a:latin typeface="Rockwell" panose="02060603020205020403" pitchFamily="18" charset="0"/>
            </a:rPr>
            <a:t>DAN </a:t>
          </a:r>
          <a:r>
            <a:rPr lang="en-US" sz="1100" baseline="0">
              <a:solidFill>
                <a:srgbClr val="FF0000"/>
              </a:solidFill>
              <a:latin typeface="Rockwell" panose="02060603020205020403" pitchFamily="18" charset="0"/>
            </a:rPr>
            <a:t>1 TIDAK TERPENUHI</a:t>
          </a:r>
          <a:r>
            <a:rPr lang="en-US" sz="1100" baseline="0">
              <a:solidFill>
                <a:schemeClr val="bg1"/>
              </a:solidFill>
              <a:latin typeface="Rockwell" panose="02060603020205020403" pitchFamily="18" charset="0"/>
            </a:rPr>
            <a:t>)</a:t>
          </a:r>
          <a:endParaRPr lang="en-US" sz="1100">
            <a:solidFill>
              <a:schemeClr val="bg1"/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25</xdr:col>
      <xdr:colOff>1051560</xdr:colOff>
      <xdr:row>32</xdr:row>
      <xdr:rowOff>68580</xdr:rowOff>
    </xdr:from>
    <xdr:to>
      <xdr:col>26</xdr:col>
      <xdr:colOff>4244340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6E08E5-FE01-4C2E-9209-9D28EC0FD9EE}"/>
            </a:ext>
          </a:extLst>
        </xdr:cNvPr>
        <xdr:cNvSpPr txBox="1"/>
      </xdr:nvSpPr>
      <xdr:spPr>
        <a:xfrm>
          <a:off x="32369760" y="6187440"/>
          <a:ext cx="4457700" cy="1714500"/>
        </a:xfrm>
        <a:prstGeom prst="rect">
          <a:avLst/>
        </a:prstGeom>
        <a:solidFill>
          <a:schemeClr val="tx1"/>
        </a:solidFill>
        <a:ln w="9525" cmpd="sng">
          <a:noFill/>
        </a:ln>
        <a:effectLst>
          <a:outerShdw blurRad="63500" sx="102000" sy="102000" algn="ctr" rotWithShape="0">
            <a:schemeClr val="bg1">
              <a:alpha val="79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bg1"/>
              </a:solidFill>
              <a:latin typeface="Rockwell" panose="02060603020205020403" pitchFamily="18" charset="0"/>
            </a:rPr>
            <a:t>KONKLUSI =</a:t>
          </a:r>
          <a:r>
            <a:rPr lang="en-US" sz="1400" b="0" baseline="0">
              <a:solidFill>
                <a:schemeClr val="bg1"/>
              </a:solidFill>
              <a:latin typeface="Rockwell" panose="02060603020205020403" pitchFamily="18" charset="0"/>
            </a:rPr>
            <a:t> 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Setelah</a:t>
          </a:r>
          <a:r>
            <a:rPr lang="en-US" sz="1400" b="0" baseline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Melakukan Perhitungan Dengan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Mempertimbangkan</a:t>
          </a:r>
          <a:r>
            <a:rPr lang="en-US" sz="1400" b="0" baseline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Uji Evaluasi Tersebut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Dan Asumsi-Asumsi Yang Dibutuhkan Dalam Model Regresi Linear, </a:t>
          </a:r>
          <a:r>
            <a:rPr lang="en-US" sz="1400" b="0">
              <a:solidFill>
                <a:schemeClr val="accent4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Model Tersebut Sudah Cukup Baik 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Untuk Memprediksi Korelasi</a:t>
          </a:r>
          <a:r>
            <a:rPr lang="en-US" sz="1400" b="0" baseline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Antara (y) : Salary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Dengan Menggunakan Prediktor (x) : Goal</a:t>
          </a:r>
          <a:r>
            <a:rPr lang="en-US" sz="1400" b="0" baseline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Scored</a:t>
          </a:r>
          <a:r>
            <a:rPr lang="en-US" sz="1400" b="0">
              <a:solidFill>
                <a:schemeClr val="bg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. </a:t>
          </a:r>
          <a:endParaRPr lang="en-US" sz="1400" b="0">
            <a:solidFill>
              <a:schemeClr val="bg1"/>
            </a:solidFill>
            <a:effectLst/>
            <a:latin typeface="Rockwell" panose="02060603020205020403" pitchFamily="18" charset="0"/>
          </a:endParaRPr>
        </a:p>
        <a:p>
          <a:endParaRPr lang="en-US" sz="1400" b="0">
            <a:solidFill>
              <a:schemeClr val="bg1"/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23</xdr:col>
      <xdr:colOff>975360</xdr:colOff>
      <xdr:row>32</xdr:row>
      <xdr:rowOff>53340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CEF1D6-9579-47CC-8339-12657AD1D78F}"/>
            </a:ext>
          </a:extLst>
        </xdr:cNvPr>
        <xdr:cNvSpPr txBox="1"/>
      </xdr:nvSpPr>
      <xdr:spPr>
        <a:xfrm>
          <a:off x="26883360" y="5920740"/>
          <a:ext cx="4069080" cy="251460"/>
        </a:xfrm>
        <a:prstGeom prst="rect">
          <a:avLst/>
        </a:prstGeom>
        <a:solidFill>
          <a:schemeClr val="tx1"/>
        </a:solidFill>
        <a:ln w="9525" cmpd="sng">
          <a:noFill/>
        </a:ln>
        <a:effectLst>
          <a:outerShdw blurRad="63500" sx="102000" sy="102000" algn="ctr" rotWithShape="0">
            <a:schemeClr val="bg1">
              <a:alpha val="23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  <a:latin typeface="Rockwell" panose="02060603020205020403" pitchFamily="18" charset="0"/>
            </a:rPr>
            <a:t>Untuk Mendapatkan</a:t>
          </a:r>
          <a:r>
            <a:rPr lang="en-US" sz="1100" baseline="0">
              <a:solidFill>
                <a:schemeClr val="bg1"/>
              </a:solidFill>
              <a:latin typeface="Rockwell" panose="02060603020205020403" pitchFamily="18" charset="0"/>
            </a:rPr>
            <a:t> Salary $ 100,000 Maka Butuh Apa ?</a:t>
          </a:r>
          <a:endParaRPr lang="en-US" sz="1100">
            <a:solidFill>
              <a:schemeClr val="bg1"/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22</xdr:col>
      <xdr:colOff>0</xdr:colOff>
      <xdr:row>41</xdr:row>
      <xdr:rowOff>0</xdr:rowOff>
    </xdr:from>
    <xdr:to>
      <xdr:col>26</xdr:col>
      <xdr:colOff>693420</xdr:colOff>
      <xdr:row>50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39938D-4E4F-397A-5C9F-F7C069D40D5F}"/>
            </a:ext>
          </a:extLst>
        </xdr:cNvPr>
        <xdr:cNvSpPr txBox="1"/>
      </xdr:nvSpPr>
      <xdr:spPr>
        <a:xfrm>
          <a:off x="26883360" y="7901940"/>
          <a:ext cx="6393180" cy="1783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schemeClr val="accent1">
              <a:lumMod val="75000"/>
              <a:alpha val="87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Konklusi</a:t>
          </a:r>
          <a:r>
            <a:rPr lang="en-US" sz="1200" b="1" u="sng">
              <a:effectLst/>
              <a:latin typeface="Rockwell" panose="02060603020205020403" pitchFamily="18" charset="0"/>
            </a:rPr>
            <a:t> Dari Penggunaan Perhitungan</a:t>
          </a:r>
          <a:r>
            <a:rPr lang="en-US" sz="1200" b="1" u="sng" baseline="0">
              <a:effectLst/>
              <a:latin typeface="Rockwell" panose="02060603020205020403" pitchFamily="18" charset="0"/>
            </a:rPr>
            <a:t> Regresi Linier </a:t>
          </a:r>
          <a:r>
            <a:rPr lang="en-US" sz="1200" b="0" baseline="0">
              <a:effectLst/>
              <a:latin typeface="Rockwell" panose="02060603020205020403" pitchFamily="18" charset="0"/>
            </a:rPr>
            <a:t>maka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untuk mendapatkan Salary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Paling Tinggi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$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100,000</a:t>
          </a:r>
          <a:r>
            <a:rPr lang="en-US" sz="1200" b="0">
              <a:effectLst/>
              <a:latin typeface="Rockwell" panose="02060603020205020403" pitchFamily="18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Dengan Menggunakan Modelnya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Yang Sudah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Dievaluasi M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aka Disimpulkan Seorang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Pemain </a:t>
          </a:r>
          <a:r>
            <a:rPr lang="en-US" sz="1200" b="1" i="0" u="none" strike="noStrike" baseline="0">
              <a:solidFill>
                <a:schemeClr val="accent1">
                  <a:lumMod val="75000"/>
                </a:schemeClr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H</a:t>
          </a:r>
          <a:r>
            <a:rPr lang="en-US" sz="12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arus Memiliki</a:t>
          </a:r>
          <a:r>
            <a:rPr lang="en-US" sz="1200" b="1" i="0" u="none" strike="noStrike" baseline="0">
              <a:solidFill>
                <a:schemeClr val="accent1">
                  <a:lumMod val="75000"/>
                </a:schemeClr>
              </a:solidFill>
              <a:effectLst/>
              <a:latin typeface="Rockwell" panose="02060603020205020403" pitchFamily="18" charset="0"/>
              <a:ea typeface="+mn-ea"/>
              <a:cs typeface="+mn-cs"/>
            </a:rPr>
            <a:t> Jumlah Goal Scored Senilai 55. </a:t>
          </a:r>
          <a:r>
            <a:rPr lang="en-US" sz="1200" b="1">
              <a:solidFill>
                <a:schemeClr val="accent1">
                  <a:lumMod val="75000"/>
                </a:schemeClr>
              </a:solidFill>
              <a:effectLst/>
              <a:latin typeface="Rockwell" panose="02060603020205020403" pitchFamily="18" charset="0"/>
            </a:rPr>
            <a:t> </a:t>
          </a:r>
          <a:r>
            <a:rPr lang="en-US" sz="1200"/>
            <a:t>Dengan Insight ini penting bagi manajemen / </a:t>
          </a:r>
          <a:r>
            <a:rPr lang="en-US" sz="1200" b="1">
              <a:solidFill>
                <a:srgbClr val="7030A0"/>
              </a:solidFill>
            </a:rPr>
            <a:t>Pemangku eksekutif dalam menetapkan kebijakan seperti kompensasi yang berdasarkan pada kinerja (</a:t>
          </a:r>
          <a:r>
            <a:rPr lang="en-US" sz="1200" b="1" i="1">
              <a:solidFill>
                <a:srgbClr val="7030A0"/>
              </a:solidFill>
            </a:rPr>
            <a:t>performance-based pay</a:t>
          </a:r>
          <a:r>
            <a:rPr lang="en-US" sz="1200" b="1">
              <a:solidFill>
                <a:srgbClr val="7030A0"/>
              </a:solidFill>
            </a:rPr>
            <a:t>). </a:t>
          </a:r>
          <a:r>
            <a:rPr lang="en-US" sz="1200"/>
            <a:t>Dengan memahami hasil regresi linier ini, perusahaan atau klub dapat merencanakan dan mengeksekusi strategi penghargaan / reward yang lebih objektif lagi dengan memotivasi pemain untuk meningkatkan produktivitas kinerjanya dan serta mengalokasikan anggaran gaji secara lebih efisien dan adil sesuai kontribusi masing-masing pemain.</a:t>
          </a:r>
        </a:p>
        <a:p>
          <a:pPr algn="ctr"/>
          <a:endParaRPr lang="en-US" sz="1200" b="0">
            <a:latin typeface="Rockwell" panose="02060603020205020403" pitchFamily="18" charset="0"/>
          </a:endParaRPr>
        </a:p>
      </xdr:txBody>
    </xdr:sp>
    <xdr:clientData/>
  </xdr:twoCellAnchor>
  <xdr:twoCellAnchor>
    <xdr:from>
      <xdr:col>26</xdr:col>
      <xdr:colOff>723900</xdr:colOff>
      <xdr:row>41</xdr:row>
      <xdr:rowOff>7620</xdr:rowOff>
    </xdr:from>
    <xdr:to>
      <xdr:col>27</xdr:col>
      <xdr:colOff>0</xdr:colOff>
      <xdr:row>43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0B5CFC-0947-8C06-0523-730DBB3B670C}"/>
            </a:ext>
          </a:extLst>
        </xdr:cNvPr>
        <xdr:cNvSpPr txBox="1"/>
      </xdr:nvSpPr>
      <xdr:spPr>
        <a:xfrm>
          <a:off x="33307020" y="7909560"/>
          <a:ext cx="6987540" cy="42672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UJI STATISTIK CI INPUT UNTUK MENGETAHUI</a:t>
          </a:r>
          <a:r>
            <a:rPr lang="en-US" sz="1100" baseline="0"/>
            <a:t> UNTUK MENDAPAT SALARY $ 100,000 BUTUH RENTANG ESTIMASI GOAL SCORED  DENGAN TINGKAT KEYAKINAN 95 % ITU BERAPA ? </a:t>
          </a:r>
          <a:endParaRPr lang="en-US" sz="1100"/>
        </a:p>
      </xdr:txBody>
    </xdr:sp>
    <xdr:clientData/>
  </xdr:twoCellAnchor>
  <xdr:twoCellAnchor>
    <xdr:from>
      <xdr:col>7</xdr:col>
      <xdr:colOff>434340</xdr:colOff>
      <xdr:row>26</xdr:row>
      <xdr:rowOff>167640</xdr:rowOff>
    </xdr:from>
    <xdr:to>
      <xdr:col>8</xdr:col>
      <xdr:colOff>944880</xdr:colOff>
      <xdr:row>28</xdr:row>
      <xdr:rowOff>83820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1E6F59-921E-EE35-E817-09AF8FE99231}"/>
            </a:ext>
          </a:extLst>
        </xdr:cNvPr>
        <xdr:cNvSpPr txBox="1"/>
      </xdr:nvSpPr>
      <xdr:spPr>
        <a:xfrm>
          <a:off x="7498080" y="5135880"/>
          <a:ext cx="1973580" cy="2971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Rockwell" panose="02060603020205020403" pitchFamily="18" charset="0"/>
            </a:rPr>
            <a:t>PREDIKSI CI INPUT</a:t>
          </a:r>
        </a:p>
      </xdr:txBody>
    </xdr:sp>
    <xdr:clientData/>
  </xdr:twoCellAnchor>
  <xdr:twoCellAnchor>
    <xdr:from>
      <xdr:col>26</xdr:col>
      <xdr:colOff>723900</xdr:colOff>
      <xdr:row>43</xdr:row>
      <xdr:rowOff>0</xdr:rowOff>
    </xdr:from>
    <xdr:to>
      <xdr:col>27</xdr:col>
      <xdr:colOff>0</xdr:colOff>
      <xdr:row>50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3F34CE-8836-439C-ACDB-F9DCF3304DBC}"/>
            </a:ext>
          </a:extLst>
        </xdr:cNvPr>
        <xdr:cNvSpPr txBox="1"/>
      </xdr:nvSpPr>
      <xdr:spPr>
        <a:xfrm>
          <a:off x="33611820" y="8313420"/>
          <a:ext cx="6987540" cy="138684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latin typeface="Rockwell" panose="02060603020205020403" pitchFamily="18" charset="0"/>
            </a:rPr>
            <a:t>KONKLUSI</a:t>
          </a:r>
          <a:r>
            <a:rPr lang="en-US" sz="1200" b="1" baseline="0">
              <a:latin typeface="Rockwell" panose="02060603020205020403" pitchFamily="18" charset="0"/>
            </a:rPr>
            <a:t> CI INPUT</a:t>
          </a:r>
          <a:endParaRPr lang="en-US" sz="1200" b="1">
            <a:latin typeface="Rockwell" panose="02060603020205020403" pitchFamily="18" charset="0"/>
          </a:endParaRPr>
        </a:p>
        <a:p>
          <a:pPr algn="ctr"/>
          <a:r>
            <a:rPr lang="en-US" sz="1100"/>
            <a:t>BERDASARKAN</a:t>
          </a:r>
          <a:r>
            <a:rPr lang="en-US" sz="1100" baseline="0"/>
            <a:t> UJI STATISTIK CI INPUT MAKA DENGAN SALARY TARGET $ 100,000 MAKA YANG DIBUTUHKAN SEORANG PEMAIN UNTUK MENDAPATKAN SALARY ITU IALAH PERLU RENTANG ESTIMASI GOAL SCORED ANTARA 54-56 BERDASARKAN 95 % TINGKAT KEYAKINAN. jIKA BERDASARKAN NILAI ESTIMASI PADA TIITK X0 HASIL REGRESI DARI TARGET SALARY $ 100,000 IALAH 55 GOAL SCORED.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topLeftCell="Z55" zoomScaleNormal="100" workbookViewId="0">
      <selection activeCell="AD79" sqref="AD79"/>
    </sheetView>
  </sheetViews>
  <sheetFormatPr defaultColWidth="12.6640625" defaultRowHeight="15.75" customHeight="1" x14ac:dyDescent="0.25"/>
  <cols>
    <col min="1" max="1" width="12.6640625" style="13"/>
    <col min="2" max="2" width="12.77734375" style="13" customWidth="1"/>
    <col min="3" max="3" width="16.6640625" style="13" customWidth="1"/>
    <col min="4" max="4" width="12.6640625" style="13"/>
    <col min="5" max="5" width="14.109375" style="13" customWidth="1"/>
    <col min="6" max="6" width="12.6640625" style="13"/>
    <col min="7" max="7" width="19.21875" style="13" customWidth="1"/>
    <col min="8" max="8" width="39.6640625" style="13" customWidth="1"/>
    <col min="9" max="9" width="30" style="13" customWidth="1"/>
    <col min="10" max="12" width="12.6640625" style="13"/>
    <col min="13" max="13" width="19.77734375" style="13" customWidth="1"/>
    <col min="14" max="14" width="19.77734375" style="14" customWidth="1"/>
    <col min="15" max="15" width="35.77734375" style="14" customWidth="1"/>
    <col min="16" max="16" width="21.77734375" style="14" customWidth="1"/>
    <col min="17" max="17" width="18.5546875" style="14" customWidth="1"/>
    <col min="18" max="18" width="29.21875" style="14" customWidth="1"/>
    <col min="19" max="19" width="17.88671875" style="14" customWidth="1"/>
    <col min="20" max="20" width="12.6640625" style="14" customWidth="1"/>
    <col min="21" max="21" width="28.44140625" style="14" customWidth="1"/>
    <col min="22" max="22" width="8.109375" style="27" bestFit="1" customWidth="1"/>
    <col min="23" max="23" width="17.88671875" style="27" bestFit="1" customWidth="1"/>
    <col min="24" max="24" width="35" style="27" bestFit="1" customWidth="1"/>
    <col min="25" max="25" width="18" style="27" bestFit="1" customWidth="1"/>
    <col min="26" max="26" width="26.6640625" style="27" bestFit="1" customWidth="1"/>
    <col min="27" max="27" width="20.6640625" style="27" bestFit="1" customWidth="1"/>
    <col min="28" max="28" width="68.5546875" style="27" customWidth="1"/>
    <col min="29" max="29" width="22.44140625" style="27" customWidth="1"/>
    <col min="30" max="30" width="61.44140625" style="27" customWidth="1"/>
    <col min="31" max="31" width="48.44140625" style="27" customWidth="1"/>
    <col min="32" max="32" width="20" style="27" customWidth="1"/>
    <col min="33" max="16384" width="12.6640625" style="1"/>
  </cols>
  <sheetData>
    <row r="1" spans="1:33" ht="16.8" x14ac:dyDescent="0.4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5"/>
      <c r="G1" s="2"/>
      <c r="H1" s="144" t="s">
        <v>104</v>
      </c>
      <c r="I1" s="2"/>
      <c r="J1" s="5"/>
      <c r="K1" s="10" t="s">
        <v>5</v>
      </c>
      <c r="L1" s="9" t="s">
        <v>0</v>
      </c>
      <c r="M1" s="9" t="s">
        <v>4</v>
      </c>
      <c r="N1" s="7"/>
      <c r="O1" s="191"/>
      <c r="P1" s="154" t="s">
        <v>6</v>
      </c>
      <c r="Q1" s="327" t="s">
        <v>7</v>
      </c>
      <c r="R1" s="327"/>
      <c r="S1" s="192"/>
      <c r="T1" s="158"/>
      <c r="U1" s="158"/>
      <c r="V1" s="145" t="s">
        <v>94</v>
      </c>
      <c r="W1" s="145" t="s">
        <v>8</v>
      </c>
      <c r="X1" s="146" t="s">
        <v>113</v>
      </c>
      <c r="Y1" s="145" t="s">
        <v>9</v>
      </c>
      <c r="Z1" s="145" t="s">
        <v>114</v>
      </c>
      <c r="AA1" s="145" t="s">
        <v>115</v>
      </c>
      <c r="AB1" s="33"/>
      <c r="AC1" s="328" t="s">
        <v>10</v>
      </c>
      <c r="AD1" s="328"/>
      <c r="AE1" s="28"/>
      <c r="AF1" s="29"/>
      <c r="AG1" s="16"/>
    </row>
    <row r="2" spans="1:33" ht="15.75" customHeight="1" x14ac:dyDescent="0.4">
      <c r="A2" s="152">
        <v>165349.20000000001</v>
      </c>
      <c r="B2" s="152">
        <v>136897.79999999999</v>
      </c>
      <c r="C2" s="152">
        <v>471784.1</v>
      </c>
      <c r="D2" s="152" t="s">
        <v>11</v>
      </c>
      <c r="E2" s="152">
        <v>192261.83</v>
      </c>
      <c r="F2" s="5"/>
      <c r="G2" s="10">
        <v>1</v>
      </c>
      <c r="H2" s="31" t="s">
        <v>12</v>
      </c>
      <c r="I2" s="10"/>
      <c r="J2" s="5"/>
      <c r="K2" s="5"/>
      <c r="L2" s="150">
        <v>165349.20000000001</v>
      </c>
      <c r="M2" s="151">
        <v>192261.83</v>
      </c>
      <c r="N2" s="7"/>
      <c r="O2" s="159" t="s">
        <v>105</v>
      </c>
      <c r="P2" s="160">
        <f t="array" ref="P2:Q6">LINEST(M2:M51,L2:L51,TRUE,TRUE)</f>
        <v>0.85429137093880902</v>
      </c>
      <c r="Q2" s="160">
        <v>49032.899141252135</v>
      </c>
      <c r="R2" s="182" t="s">
        <v>106</v>
      </c>
      <c r="S2" s="188"/>
      <c r="T2" s="158"/>
      <c r="U2" s="158"/>
      <c r="V2" s="35"/>
      <c r="W2" s="147">
        <f t="shared" ref="W2:W33" si="0">$Q$8*L2+$S$8</f>
        <v>190289.29389288745</v>
      </c>
      <c r="X2" s="148">
        <f t="shared" ref="X2:X51" si="1">M2-W2</f>
        <v>1972.5361071125371</v>
      </c>
      <c r="Y2" s="147">
        <f t="shared" ref="Y2:Y51" si="2">ABS(X2)</f>
        <v>1972.5361071125371</v>
      </c>
      <c r="Z2" s="149">
        <f t="shared" ref="Z2:Z51" si="3">Y2/M2</f>
        <v>1.0259634515663028E-2</v>
      </c>
      <c r="AA2" s="147">
        <f>X2^2</f>
        <v>3890898.6938626827</v>
      </c>
      <c r="AB2" s="36"/>
      <c r="AC2" s="41" t="s">
        <v>13</v>
      </c>
      <c r="AD2" s="40" t="s">
        <v>14</v>
      </c>
      <c r="AE2" s="39"/>
      <c r="AF2" s="29"/>
      <c r="AG2" s="16"/>
    </row>
    <row r="3" spans="1:33" ht="15.75" customHeight="1" x14ac:dyDescent="0.4">
      <c r="A3" s="153">
        <v>162597.70000000001</v>
      </c>
      <c r="B3" s="153">
        <v>151377.59</v>
      </c>
      <c r="C3" s="153">
        <v>443898.53</v>
      </c>
      <c r="D3" s="153" t="s">
        <v>15</v>
      </c>
      <c r="E3" s="153">
        <v>191792.06</v>
      </c>
      <c r="F3" s="5"/>
      <c r="G3" s="10">
        <v>2</v>
      </c>
      <c r="H3" s="31" t="s">
        <v>10</v>
      </c>
      <c r="I3" s="10"/>
      <c r="J3" s="5"/>
      <c r="K3" s="5"/>
      <c r="L3" s="150">
        <v>162597.70000000001</v>
      </c>
      <c r="M3" s="151">
        <v>191792.06</v>
      </c>
      <c r="N3" s="7"/>
      <c r="O3" s="161" t="s">
        <v>16</v>
      </c>
      <c r="P3" s="162">
        <v>2.9305591498200435E-2</v>
      </c>
      <c r="Q3" s="162">
        <v>2537.8969493237901</v>
      </c>
      <c r="R3" s="190" t="s">
        <v>107</v>
      </c>
      <c r="S3" s="189"/>
      <c r="T3" s="158"/>
      <c r="U3" s="158"/>
      <c r="V3" s="35"/>
      <c r="W3" s="147">
        <f t="shared" si="0"/>
        <v>187938.71118574933</v>
      </c>
      <c r="X3" s="148">
        <f t="shared" si="1"/>
        <v>3853.3488142506685</v>
      </c>
      <c r="Y3" s="147">
        <f t="shared" si="2"/>
        <v>3853.3488142506685</v>
      </c>
      <c r="Z3" s="149">
        <f t="shared" si="3"/>
        <v>2.0091284353745763E-2</v>
      </c>
      <c r="AA3" s="147">
        <f t="shared" ref="AA3:AA51" si="4">X3^2</f>
        <v>14848297.084287032</v>
      </c>
      <c r="AB3" s="36"/>
      <c r="AC3" s="41" t="s">
        <v>17</v>
      </c>
      <c r="AD3" s="43">
        <v>0.97290046565948318</v>
      </c>
      <c r="AE3" s="39"/>
      <c r="AF3" s="29"/>
      <c r="AG3" s="16"/>
    </row>
    <row r="4" spans="1:33" ht="15.75" customHeight="1" x14ac:dyDescent="0.4">
      <c r="A4" s="153">
        <v>153441.51</v>
      </c>
      <c r="B4" s="153">
        <v>101145.55</v>
      </c>
      <c r="C4" s="153">
        <v>407934.54</v>
      </c>
      <c r="D4" s="153" t="s">
        <v>18</v>
      </c>
      <c r="E4" s="153">
        <v>191050.39</v>
      </c>
      <c r="F4" s="5"/>
      <c r="G4" s="10">
        <v>3</v>
      </c>
      <c r="H4" s="31" t="s">
        <v>19</v>
      </c>
      <c r="I4" s="10"/>
      <c r="J4" s="5"/>
      <c r="K4" s="5"/>
      <c r="L4" s="150">
        <v>153441.51</v>
      </c>
      <c r="M4" s="151">
        <v>191050.39</v>
      </c>
      <c r="N4" s="7"/>
      <c r="O4" s="163" t="s">
        <v>108</v>
      </c>
      <c r="P4" s="164">
        <v>0.94653531608043917</v>
      </c>
      <c r="Q4" s="165">
        <v>9416.3494412128894</v>
      </c>
      <c r="R4" s="329" t="s">
        <v>112</v>
      </c>
      <c r="S4" s="329"/>
      <c r="T4" s="158"/>
      <c r="U4" s="158"/>
      <c r="V4" s="35"/>
      <c r="W4" s="147">
        <f t="shared" si="0"/>
        <v>180116.6570780731</v>
      </c>
      <c r="X4" s="148">
        <f t="shared" si="1"/>
        <v>10933.732921926916</v>
      </c>
      <c r="Y4" s="147">
        <f t="shared" si="2"/>
        <v>10933.732921926916</v>
      </c>
      <c r="Z4" s="149">
        <f t="shared" si="3"/>
        <v>5.7229576563161765E-2</v>
      </c>
      <c r="AA4" s="147">
        <f t="shared" si="4"/>
        <v>119546515.60802849</v>
      </c>
      <c r="AB4" s="36"/>
      <c r="AC4" s="41" t="s">
        <v>21</v>
      </c>
      <c r="AD4" s="40" t="s">
        <v>22</v>
      </c>
      <c r="AE4" s="39"/>
      <c r="AF4" s="29"/>
      <c r="AG4" s="16"/>
    </row>
    <row r="5" spans="1:33" ht="15.75" customHeight="1" x14ac:dyDescent="0.4">
      <c r="A5" s="153">
        <v>144372.41</v>
      </c>
      <c r="B5" s="153">
        <v>118671.85</v>
      </c>
      <c r="C5" s="153">
        <v>383199.62</v>
      </c>
      <c r="D5" s="153" t="s">
        <v>11</v>
      </c>
      <c r="E5" s="153">
        <v>182901.99</v>
      </c>
      <c r="F5" s="5"/>
      <c r="G5" s="10">
        <v>4</v>
      </c>
      <c r="H5" s="32" t="s">
        <v>23</v>
      </c>
      <c r="I5" s="10"/>
      <c r="J5" s="5"/>
      <c r="K5" s="5"/>
      <c r="L5" s="150">
        <v>144372.41</v>
      </c>
      <c r="M5" s="151">
        <v>182901.99</v>
      </c>
      <c r="N5" s="7"/>
      <c r="O5" s="166" t="s">
        <v>24</v>
      </c>
      <c r="P5" s="167">
        <v>849.78890439560882</v>
      </c>
      <c r="Q5" s="184">
        <v>48</v>
      </c>
      <c r="R5" s="168" t="s">
        <v>111</v>
      </c>
      <c r="S5" s="168"/>
      <c r="T5" s="193"/>
      <c r="U5" s="193"/>
      <c r="V5" s="35"/>
      <c r="W5" s="147">
        <f t="shared" si="0"/>
        <v>172369.00320589196</v>
      </c>
      <c r="X5" s="148">
        <f t="shared" si="1"/>
        <v>10532.98679410803</v>
      </c>
      <c r="Y5" s="147">
        <f t="shared" si="2"/>
        <v>10532.98679410803</v>
      </c>
      <c r="Z5" s="149">
        <f t="shared" si="3"/>
        <v>5.7588147587175134E-2</v>
      </c>
      <c r="AA5" s="147">
        <f t="shared" si="4"/>
        <v>110943810.80485415</v>
      </c>
      <c r="AB5" s="36"/>
      <c r="AC5" s="42"/>
      <c r="AD5" s="44" t="s">
        <v>25</v>
      </c>
      <c r="AE5" s="39"/>
      <c r="AF5" s="29"/>
      <c r="AG5" s="16"/>
    </row>
    <row r="6" spans="1:33" ht="15.75" customHeight="1" x14ac:dyDescent="0.4">
      <c r="A6" s="153">
        <v>142107.34</v>
      </c>
      <c r="B6" s="153">
        <v>91391.77</v>
      </c>
      <c r="C6" s="153">
        <v>366168.42</v>
      </c>
      <c r="D6" s="153" t="s">
        <v>18</v>
      </c>
      <c r="E6" s="153">
        <v>166187.94</v>
      </c>
      <c r="F6" s="5"/>
      <c r="G6" s="24" t="s">
        <v>26</v>
      </c>
      <c r="H6" s="24" t="s">
        <v>27</v>
      </c>
      <c r="I6" s="8" t="s">
        <v>21</v>
      </c>
      <c r="J6" s="17"/>
      <c r="K6" s="5"/>
      <c r="L6" s="150">
        <v>142107.34</v>
      </c>
      <c r="M6" s="151">
        <v>166187.94</v>
      </c>
      <c r="N6" s="7"/>
      <c r="O6" s="169" t="s">
        <v>109</v>
      </c>
      <c r="P6" s="170">
        <v>75348773930.795731</v>
      </c>
      <c r="Q6" s="170">
        <v>4256046566.3534546</v>
      </c>
      <c r="R6" s="171" t="s">
        <v>110</v>
      </c>
      <c r="S6" s="330" t="s">
        <v>28</v>
      </c>
      <c r="T6" s="330"/>
      <c r="U6" s="330"/>
      <c r="V6" s="35"/>
      <c r="W6" s="147">
        <f t="shared" si="0"/>
        <v>170433.97345031958</v>
      </c>
      <c r="X6" s="148">
        <f t="shared" si="1"/>
        <v>-4246.0334503195772</v>
      </c>
      <c r="Y6" s="147">
        <f t="shared" si="2"/>
        <v>4246.0334503195772</v>
      </c>
      <c r="Z6" s="149">
        <f t="shared" si="3"/>
        <v>2.5549588317416879E-2</v>
      </c>
      <c r="AA6" s="147">
        <f t="shared" si="4"/>
        <v>18028800.061232775</v>
      </c>
      <c r="AB6" s="36"/>
      <c r="AC6" s="41" t="s">
        <v>29</v>
      </c>
      <c r="AD6" s="44" t="s">
        <v>30</v>
      </c>
      <c r="AE6" s="39"/>
      <c r="AF6" s="29"/>
      <c r="AG6" s="16"/>
    </row>
    <row r="7" spans="1:33" ht="15.75" customHeight="1" x14ac:dyDescent="0.4">
      <c r="A7" s="153">
        <v>131876.9</v>
      </c>
      <c r="B7" s="153">
        <v>99814.71</v>
      </c>
      <c r="C7" s="153">
        <v>362861.36</v>
      </c>
      <c r="D7" s="153" t="s">
        <v>11</v>
      </c>
      <c r="E7" s="153">
        <v>156991.12</v>
      </c>
      <c r="F7" s="5"/>
      <c r="G7" s="135" t="s">
        <v>0</v>
      </c>
      <c r="H7" s="183">
        <f>CORREL(E2:E51,A2:A51)</f>
        <v>0.97290046565948296</v>
      </c>
      <c r="I7" s="318" t="s">
        <v>31</v>
      </c>
      <c r="J7" s="319"/>
      <c r="K7" s="5"/>
      <c r="L7" s="150">
        <v>131876.9</v>
      </c>
      <c r="M7" s="151">
        <v>156991.12</v>
      </c>
      <c r="N7" s="7"/>
      <c r="O7" s="194"/>
      <c r="P7" s="313" t="s">
        <v>32</v>
      </c>
      <c r="Q7" s="313"/>
      <c r="R7" s="172"/>
      <c r="S7" s="173"/>
      <c r="T7" s="158"/>
      <c r="U7" s="158"/>
      <c r="V7" s="35"/>
      <c r="W7" s="147">
        <f t="shared" si="0"/>
        <v>161694.19683741237</v>
      </c>
      <c r="X7" s="148">
        <f t="shared" si="1"/>
        <v>-4703.0768374123727</v>
      </c>
      <c r="Y7" s="147">
        <f t="shared" si="2"/>
        <v>4703.0768374123727</v>
      </c>
      <c r="Z7" s="149">
        <f t="shared" si="3"/>
        <v>2.9957597840007594E-2</v>
      </c>
      <c r="AA7" s="147">
        <f t="shared" si="4"/>
        <v>22118931.738604765</v>
      </c>
      <c r="AB7" s="36"/>
      <c r="AC7" s="42"/>
      <c r="AD7" s="44" t="s">
        <v>30</v>
      </c>
      <c r="AE7" s="39"/>
      <c r="AF7" s="29"/>
      <c r="AG7" s="16"/>
    </row>
    <row r="8" spans="1:33" ht="15.75" customHeight="1" x14ac:dyDescent="0.4">
      <c r="A8" s="153">
        <v>134615.46</v>
      </c>
      <c r="B8" s="153">
        <v>147198.87</v>
      </c>
      <c r="C8" s="153">
        <v>127716.82</v>
      </c>
      <c r="D8" s="153" t="s">
        <v>15</v>
      </c>
      <c r="E8" s="153">
        <v>156122.51</v>
      </c>
      <c r="F8" s="5"/>
      <c r="G8" s="135" t="s">
        <v>1</v>
      </c>
      <c r="H8" s="183">
        <f>CORREL(E2:E51,B2:B51)</f>
        <v>0.20071656826872131</v>
      </c>
      <c r="I8" s="318" t="s">
        <v>33</v>
      </c>
      <c r="J8" s="319"/>
      <c r="K8" s="5"/>
      <c r="L8" s="150">
        <v>134615.46</v>
      </c>
      <c r="M8" s="151">
        <v>156122.51</v>
      </c>
      <c r="N8" s="7"/>
      <c r="O8" s="155" t="s">
        <v>34</v>
      </c>
      <c r="P8" s="156" t="s">
        <v>93</v>
      </c>
      <c r="Q8" s="156">
        <f>P2</f>
        <v>0.85429137093880902</v>
      </c>
      <c r="R8" s="157" t="s">
        <v>36</v>
      </c>
      <c r="S8" s="156">
        <f>Q2</f>
        <v>49032.899141252135</v>
      </c>
      <c r="T8" s="158"/>
      <c r="U8" s="158"/>
      <c r="V8" s="35"/>
      <c r="W8" s="147">
        <f t="shared" si="0"/>
        <v>164033.72501421053</v>
      </c>
      <c r="X8" s="148">
        <f t="shared" si="1"/>
        <v>-7911.2150142105238</v>
      </c>
      <c r="Y8" s="147">
        <f t="shared" si="2"/>
        <v>7911.2150142105238</v>
      </c>
      <c r="Z8" s="149">
        <f t="shared" si="3"/>
        <v>5.0673122115513794E-2</v>
      </c>
      <c r="AA8" s="147">
        <f t="shared" si="4"/>
        <v>62587323.001070015</v>
      </c>
      <c r="AB8" s="36"/>
      <c r="AC8" s="41" t="s">
        <v>21</v>
      </c>
      <c r="AD8" s="44" t="s">
        <v>37</v>
      </c>
      <c r="AE8" s="39"/>
      <c r="AF8" s="29"/>
      <c r="AG8" s="16"/>
    </row>
    <row r="9" spans="1:33" ht="16.2" x14ac:dyDescent="0.4">
      <c r="A9" s="153">
        <v>130298.13</v>
      </c>
      <c r="B9" s="153">
        <v>145530.06</v>
      </c>
      <c r="C9" s="153">
        <v>323876.68</v>
      </c>
      <c r="D9" s="153" t="s">
        <v>18</v>
      </c>
      <c r="E9" s="153">
        <v>155752.6</v>
      </c>
      <c r="F9" s="5"/>
      <c r="G9" s="135" t="s">
        <v>2</v>
      </c>
      <c r="H9" s="183">
        <f>CORREL(E2:E51,C2:C51)</f>
        <v>0.74776572174147637</v>
      </c>
      <c r="I9" s="318" t="s">
        <v>38</v>
      </c>
      <c r="J9" s="319"/>
      <c r="K9" s="5"/>
      <c r="L9" s="150">
        <v>130298.13</v>
      </c>
      <c r="M9" s="151">
        <v>155752.6</v>
      </c>
      <c r="N9" s="7"/>
      <c r="O9" s="158"/>
      <c r="P9" s="174"/>
      <c r="Q9" s="175"/>
      <c r="R9" s="174"/>
      <c r="S9" s="158"/>
      <c r="T9" s="158"/>
      <c r="U9" s="158"/>
      <c r="V9" s="35"/>
      <c r="W9" s="147">
        <f t="shared" si="0"/>
        <v>160345.46724971529</v>
      </c>
      <c r="X9" s="148">
        <f t="shared" si="1"/>
        <v>-4592.8672497152875</v>
      </c>
      <c r="Y9" s="147">
        <f t="shared" si="2"/>
        <v>4592.8672497152875</v>
      </c>
      <c r="Z9" s="149">
        <f t="shared" si="3"/>
        <v>2.9488222024642203E-2</v>
      </c>
      <c r="AA9" s="147">
        <f t="shared" si="4"/>
        <v>21094429.573507268</v>
      </c>
      <c r="AB9" s="36"/>
      <c r="AC9" s="28"/>
      <c r="AD9" s="39"/>
      <c r="AE9" s="39"/>
      <c r="AF9" s="29"/>
      <c r="AG9" s="16"/>
    </row>
    <row r="10" spans="1:33" ht="16.2" x14ac:dyDescent="0.4">
      <c r="A10" s="153">
        <v>120542.52</v>
      </c>
      <c r="B10" s="153">
        <v>148718.95000000001</v>
      </c>
      <c r="C10" s="153">
        <v>311613.28999999998</v>
      </c>
      <c r="D10" s="153" t="s">
        <v>11</v>
      </c>
      <c r="E10" s="153">
        <v>152211.76999999999</v>
      </c>
      <c r="F10" s="5"/>
      <c r="G10" s="6"/>
      <c r="H10" s="6"/>
      <c r="I10" s="3"/>
      <c r="J10" s="3"/>
      <c r="K10" s="5"/>
      <c r="L10" s="150">
        <v>120542.52</v>
      </c>
      <c r="M10" s="151">
        <v>152211.76999999999</v>
      </c>
      <c r="N10" s="7"/>
      <c r="O10" s="176" t="s">
        <v>20</v>
      </c>
      <c r="P10" s="177">
        <f>P4</f>
        <v>0.94653531608043917</v>
      </c>
      <c r="Q10" s="314" t="s">
        <v>39</v>
      </c>
      <c r="R10" s="314"/>
      <c r="S10" s="158"/>
      <c r="T10" s="158"/>
      <c r="U10" s="158"/>
      <c r="V10" s="35"/>
      <c r="W10" s="147">
        <f t="shared" si="0"/>
        <v>152011.33380847095</v>
      </c>
      <c r="X10" s="148">
        <f t="shared" si="1"/>
        <v>200.43619152903557</v>
      </c>
      <c r="Y10" s="147">
        <f t="shared" si="2"/>
        <v>200.43619152903557</v>
      </c>
      <c r="Z10" s="149">
        <f t="shared" si="3"/>
        <v>1.3168245236819438E-3</v>
      </c>
      <c r="AA10" s="147">
        <f t="shared" si="4"/>
        <v>40174.666874664232</v>
      </c>
      <c r="AB10" s="36"/>
      <c r="AC10" s="28"/>
      <c r="AD10" s="39"/>
      <c r="AE10" s="39"/>
      <c r="AF10" s="29"/>
      <c r="AG10" s="16"/>
    </row>
    <row r="11" spans="1:33" ht="16.2" x14ac:dyDescent="0.4">
      <c r="A11" s="153">
        <v>123334.88</v>
      </c>
      <c r="B11" s="153">
        <v>108679.17</v>
      </c>
      <c r="C11" s="153">
        <v>304981.62</v>
      </c>
      <c r="D11" s="153" t="s">
        <v>15</v>
      </c>
      <c r="E11" s="153">
        <v>149759.96</v>
      </c>
      <c r="F11" s="5"/>
      <c r="G11" s="19" t="s">
        <v>40</v>
      </c>
      <c r="H11" s="25">
        <v>-1</v>
      </c>
      <c r="I11" s="25" t="s">
        <v>41</v>
      </c>
      <c r="J11" s="25">
        <v>1</v>
      </c>
      <c r="K11" s="5"/>
      <c r="L11" s="150">
        <v>123334.88</v>
      </c>
      <c r="M11" s="151">
        <v>149759.96</v>
      </c>
      <c r="N11" s="7"/>
      <c r="O11" s="315" t="s">
        <v>42</v>
      </c>
      <c r="P11" s="315"/>
      <c r="Q11" s="315"/>
      <c r="R11" s="178" t="s">
        <v>43</v>
      </c>
      <c r="S11" s="158"/>
      <c r="T11" s="158"/>
      <c r="U11" s="158"/>
      <c r="V11" s="35"/>
      <c r="W11" s="147">
        <f t="shared" si="0"/>
        <v>154396.82286102563</v>
      </c>
      <c r="X11" s="148">
        <f t="shared" si="1"/>
        <v>-4636.8628610256419</v>
      </c>
      <c r="Y11" s="147">
        <f t="shared" si="2"/>
        <v>4636.8628610256419</v>
      </c>
      <c r="Z11" s="149">
        <f t="shared" si="3"/>
        <v>3.0961966476390899E-2</v>
      </c>
      <c r="AA11" s="147">
        <f t="shared" si="4"/>
        <v>21500497.191958901</v>
      </c>
      <c r="AB11" s="36"/>
      <c r="AC11" s="28"/>
      <c r="AD11" s="39"/>
      <c r="AE11" s="39"/>
      <c r="AF11" s="29"/>
      <c r="AG11" s="16"/>
    </row>
    <row r="12" spans="1:33" ht="15.75" customHeight="1" x14ac:dyDescent="0.4">
      <c r="A12" s="153">
        <v>101913.08</v>
      </c>
      <c r="B12" s="153">
        <v>110594.11</v>
      </c>
      <c r="C12" s="153">
        <v>229160.95</v>
      </c>
      <c r="D12" s="153" t="s">
        <v>18</v>
      </c>
      <c r="E12" s="153">
        <v>146121.95000000001</v>
      </c>
      <c r="F12" s="5"/>
      <c r="G12" s="20"/>
      <c r="H12" s="136" t="s">
        <v>44</v>
      </c>
      <c r="I12" s="316" t="s">
        <v>45</v>
      </c>
      <c r="J12" s="316"/>
      <c r="K12" s="5"/>
      <c r="L12" s="150">
        <v>101913.08</v>
      </c>
      <c r="M12" s="151">
        <v>146121.95000000001</v>
      </c>
      <c r="N12" s="7"/>
      <c r="O12" s="195"/>
      <c r="P12" s="195"/>
      <c r="Q12" s="179" t="s">
        <v>46</v>
      </c>
      <c r="R12" s="180">
        <v>0.7</v>
      </c>
      <c r="S12" s="158"/>
      <c r="T12" s="158"/>
      <c r="U12" s="158"/>
      <c r="V12" s="35"/>
      <c r="W12" s="147">
        <f t="shared" si="0"/>
        <v>136096.36397104865</v>
      </c>
      <c r="X12" s="148">
        <f t="shared" si="1"/>
        <v>10025.586028951366</v>
      </c>
      <c r="Y12" s="147">
        <f t="shared" si="2"/>
        <v>10025.586028951366</v>
      </c>
      <c r="Z12" s="149">
        <f t="shared" si="3"/>
        <v>6.8611088402196693E-2</v>
      </c>
      <c r="AA12" s="147">
        <f t="shared" si="4"/>
        <v>100512375.22390482</v>
      </c>
      <c r="AB12" s="36"/>
      <c r="AC12" s="41" t="s">
        <v>47</v>
      </c>
      <c r="AD12" s="323" t="s">
        <v>48</v>
      </c>
      <c r="AE12" s="324"/>
      <c r="AF12" s="57"/>
      <c r="AG12" s="16"/>
    </row>
    <row r="13" spans="1:33" ht="16.2" x14ac:dyDescent="0.4">
      <c r="A13" s="153">
        <v>100671.96</v>
      </c>
      <c r="B13" s="153">
        <v>91790.61</v>
      </c>
      <c r="C13" s="153">
        <v>249744.55</v>
      </c>
      <c r="D13" s="153" t="s">
        <v>15</v>
      </c>
      <c r="E13" s="153">
        <v>144259.4</v>
      </c>
      <c r="F13" s="5"/>
      <c r="G13" s="20"/>
      <c r="H13" s="136" t="s">
        <v>49</v>
      </c>
      <c r="I13" s="316" t="s">
        <v>38</v>
      </c>
      <c r="J13" s="316"/>
      <c r="K13" s="5"/>
      <c r="L13" s="150">
        <v>100671.96</v>
      </c>
      <c r="M13" s="151">
        <v>144259.4</v>
      </c>
      <c r="N13" s="7"/>
      <c r="O13" s="181" t="s">
        <v>50</v>
      </c>
      <c r="P13" s="182" t="s">
        <v>51</v>
      </c>
      <c r="Q13" s="182"/>
      <c r="R13" s="182"/>
      <c r="S13" s="182"/>
      <c r="T13" s="182"/>
      <c r="U13" s="182"/>
      <c r="V13" s="35"/>
      <c r="W13" s="147">
        <f t="shared" si="0"/>
        <v>135036.0858647491</v>
      </c>
      <c r="X13" s="148">
        <f t="shared" si="1"/>
        <v>9223.3141352508974</v>
      </c>
      <c r="Y13" s="147">
        <f t="shared" si="2"/>
        <v>9223.3141352508974</v>
      </c>
      <c r="Z13" s="149">
        <f t="shared" si="3"/>
        <v>6.3935619690993428E-2</v>
      </c>
      <c r="AA13" s="147">
        <f t="shared" si="4"/>
        <v>85069523.637519002</v>
      </c>
      <c r="AB13" s="36"/>
      <c r="AC13" s="41" t="s">
        <v>21</v>
      </c>
      <c r="AD13" s="45" t="s">
        <v>52</v>
      </c>
      <c r="AE13" s="44"/>
      <c r="AF13" s="57"/>
      <c r="AG13" s="16"/>
    </row>
    <row r="14" spans="1:33" ht="16.2" x14ac:dyDescent="0.4">
      <c r="A14" s="153">
        <v>93863.75</v>
      </c>
      <c r="B14" s="153">
        <v>127320.38</v>
      </c>
      <c r="C14" s="153">
        <v>249839.44</v>
      </c>
      <c r="D14" s="153" t="s">
        <v>18</v>
      </c>
      <c r="E14" s="153">
        <v>141585.51999999999</v>
      </c>
      <c r="F14" s="5"/>
      <c r="G14" s="20"/>
      <c r="H14" s="136" t="s">
        <v>53</v>
      </c>
      <c r="I14" s="316" t="s">
        <v>54</v>
      </c>
      <c r="J14" s="316"/>
      <c r="K14" s="5"/>
      <c r="L14" s="150">
        <v>93863.75</v>
      </c>
      <c r="M14" s="151">
        <v>141585.51999999999</v>
      </c>
      <c r="N14" s="7"/>
      <c r="O14" s="182"/>
      <c r="P14" s="317" t="s">
        <v>55</v>
      </c>
      <c r="Q14" s="317"/>
      <c r="R14" s="317"/>
      <c r="S14" s="182"/>
      <c r="T14" s="182"/>
      <c r="U14" s="182"/>
      <c r="V14" s="35"/>
      <c r="W14" s="147">
        <f t="shared" si="0"/>
        <v>129219.89081020976</v>
      </c>
      <c r="X14" s="148">
        <f t="shared" si="1"/>
        <v>12365.629189790227</v>
      </c>
      <c r="Y14" s="147">
        <f t="shared" si="2"/>
        <v>12365.629189790227</v>
      </c>
      <c r="Z14" s="149">
        <f t="shared" si="3"/>
        <v>8.7336820811833207E-2</v>
      </c>
      <c r="AA14" s="147">
        <f t="shared" si="4"/>
        <v>152908785.25939208</v>
      </c>
      <c r="AB14" s="36"/>
      <c r="AC14" s="28"/>
      <c r="AD14" s="28"/>
      <c r="AE14" s="28"/>
      <c r="AF14" s="29"/>
      <c r="AG14" s="84"/>
    </row>
    <row r="15" spans="1:33" ht="13.2" x14ac:dyDescent="0.25">
      <c r="A15" s="153">
        <v>91992.39</v>
      </c>
      <c r="B15" s="153">
        <v>135495.07</v>
      </c>
      <c r="C15" s="153">
        <v>252664.93</v>
      </c>
      <c r="D15" s="153" t="s">
        <v>15</v>
      </c>
      <c r="E15" s="153">
        <v>134307.35</v>
      </c>
      <c r="F15" s="5"/>
      <c r="G15" s="21"/>
      <c r="H15" s="7"/>
      <c r="I15" s="4"/>
      <c r="J15" s="4"/>
      <c r="K15" s="5"/>
      <c r="L15" s="150">
        <v>91992.39</v>
      </c>
      <c r="M15" s="151">
        <v>134307.35</v>
      </c>
      <c r="N15" s="7"/>
      <c r="O15" s="6"/>
      <c r="P15" s="325"/>
      <c r="Q15" s="326"/>
      <c r="R15" s="326"/>
      <c r="S15" s="326"/>
      <c r="T15" s="326"/>
      <c r="U15" s="6"/>
      <c r="V15" s="35"/>
      <c r="W15" s="147">
        <f t="shared" si="0"/>
        <v>127621.20411028972</v>
      </c>
      <c r="X15" s="148">
        <f t="shared" si="1"/>
        <v>6686.1458897102857</v>
      </c>
      <c r="Y15" s="147">
        <f t="shared" si="2"/>
        <v>6686.1458897102857</v>
      </c>
      <c r="Z15" s="149">
        <f t="shared" si="3"/>
        <v>4.9782427318462358E-2</v>
      </c>
      <c r="AA15" s="147">
        <f t="shared" si="4"/>
        <v>44704546.858489744</v>
      </c>
      <c r="AB15" s="36"/>
      <c r="AC15" s="15" t="s">
        <v>95</v>
      </c>
      <c r="AD15" s="49"/>
      <c r="AE15" s="50"/>
      <c r="AF15" s="76"/>
      <c r="AG15" s="22"/>
    </row>
    <row r="16" spans="1:33" ht="13.8" x14ac:dyDescent="0.25">
      <c r="A16" s="153">
        <v>119943.24</v>
      </c>
      <c r="B16" s="153">
        <v>156547.42000000001</v>
      </c>
      <c r="C16" s="153">
        <v>256512.92</v>
      </c>
      <c r="D16" s="153" t="s">
        <v>18</v>
      </c>
      <c r="E16" s="153">
        <v>132602.65</v>
      </c>
      <c r="F16" s="5"/>
      <c r="G16" s="21"/>
      <c r="H16" s="137" t="s">
        <v>56</v>
      </c>
      <c r="I16" s="138" t="s">
        <v>57</v>
      </c>
      <c r="J16" s="23"/>
      <c r="K16" s="5"/>
      <c r="L16" s="150">
        <v>119943.24</v>
      </c>
      <c r="M16" s="151">
        <v>132602.65</v>
      </c>
      <c r="N16" s="7"/>
      <c r="O16" s="6"/>
      <c r="P16" s="325"/>
      <c r="Q16" s="326"/>
      <c r="R16" s="6"/>
      <c r="S16" s="6"/>
      <c r="T16" s="6"/>
      <c r="U16" s="6"/>
      <c r="V16" s="35"/>
      <c r="W16" s="147">
        <f t="shared" si="0"/>
        <v>151499.37407569474</v>
      </c>
      <c r="X16" s="148">
        <f t="shared" si="1"/>
        <v>-18896.724075694743</v>
      </c>
      <c r="Y16" s="147">
        <f t="shared" si="2"/>
        <v>18896.724075694743</v>
      </c>
      <c r="Z16" s="149">
        <f t="shared" si="3"/>
        <v>0.14250638336183133</v>
      </c>
      <c r="AA16" s="147">
        <f t="shared" si="4"/>
        <v>357086180.79294133</v>
      </c>
      <c r="AB16" s="36"/>
      <c r="AC16" s="19" t="s">
        <v>58</v>
      </c>
      <c r="AD16" s="48"/>
      <c r="AE16" s="46"/>
      <c r="AF16" s="38"/>
      <c r="AG16" s="85"/>
    </row>
    <row r="17" spans="1:33" ht="18" x14ac:dyDescent="0.4">
      <c r="A17" s="153">
        <v>114523.61</v>
      </c>
      <c r="B17" s="153">
        <v>122616.84</v>
      </c>
      <c r="C17" s="153">
        <v>261776.23</v>
      </c>
      <c r="D17" s="153" t="s">
        <v>11</v>
      </c>
      <c r="E17" s="153">
        <v>129917.04</v>
      </c>
      <c r="F17" s="5"/>
      <c r="G17" s="21"/>
      <c r="H17" s="137" t="s">
        <v>59</v>
      </c>
      <c r="I17" s="138" t="s">
        <v>38</v>
      </c>
      <c r="J17" s="23"/>
      <c r="K17" s="5"/>
      <c r="L17" s="150">
        <v>114523.61</v>
      </c>
      <c r="M17" s="151">
        <v>129917.04</v>
      </c>
      <c r="N17" s="7"/>
      <c r="O17" s="7"/>
      <c r="P17" s="7"/>
      <c r="Q17" s="7"/>
      <c r="R17" s="7"/>
      <c r="S17" s="7"/>
      <c r="T17" s="7"/>
      <c r="U17" s="7"/>
      <c r="V17" s="26"/>
      <c r="W17" s="147">
        <f t="shared" si="0"/>
        <v>146869.43093301365</v>
      </c>
      <c r="X17" s="148">
        <f t="shared" si="1"/>
        <v>-16952.390933013652</v>
      </c>
      <c r="Y17" s="147">
        <f t="shared" si="2"/>
        <v>16952.390933013652</v>
      </c>
      <c r="Z17" s="149">
        <f t="shared" si="3"/>
        <v>0.13048627749688305</v>
      </c>
      <c r="AA17" s="147">
        <f t="shared" si="4"/>
        <v>287383558.34572351</v>
      </c>
      <c r="AB17" s="36"/>
      <c r="AC17" s="18" t="s">
        <v>60</v>
      </c>
      <c r="AD17" s="77">
        <f>AVERAGE(Z2:Z51)</f>
        <v>0.11070141081984841</v>
      </c>
      <c r="AE17" s="78" t="s">
        <v>96</v>
      </c>
      <c r="AF17" s="51"/>
      <c r="AG17" s="16"/>
    </row>
    <row r="18" spans="1:33" ht="22.8" x14ac:dyDescent="0.75">
      <c r="A18" s="153">
        <v>78013.11</v>
      </c>
      <c r="B18" s="153">
        <v>121597.55</v>
      </c>
      <c r="C18" s="153">
        <v>264346.06</v>
      </c>
      <c r="D18" s="153" t="s">
        <v>15</v>
      </c>
      <c r="E18" s="153">
        <v>126992.93</v>
      </c>
      <c r="F18" s="5"/>
      <c r="G18" s="5"/>
      <c r="H18" s="5"/>
      <c r="I18" s="5"/>
      <c r="J18" s="5"/>
      <c r="K18" s="5"/>
      <c r="L18" s="150">
        <v>78013.11</v>
      </c>
      <c r="M18" s="151">
        <v>126992.93</v>
      </c>
      <c r="N18" s="7"/>
      <c r="O18" s="7"/>
      <c r="P18" s="7"/>
      <c r="Q18" s="7"/>
      <c r="R18" s="7"/>
      <c r="S18" s="7"/>
      <c r="T18" s="7"/>
      <c r="U18" s="7"/>
      <c r="V18" s="26"/>
      <c r="W18" s="147">
        <f t="shared" si="0"/>
        <v>115678.82583435226</v>
      </c>
      <c r="X18" s="148">
        <f t="shared" si="1"/>
        <v>11314.104165647732</v>
      </c>
      <c r="Y18" s="147">
        <f t="shared" si="2"/>
        <v>11314.104165647732</v>
      </c>
      <c r="Z18" s="149">
        <f t="shared" si="3"/>
        <v>8.9092394085621404E-2</v>
      </c>
      <c r="AA18" s="147">
        <f t="shared" si="4"/>
        <v>128008953.07112736</v>
      </c>
      <c r="AB18" s="36"/>
      <c r="AC18" s="19" t="s">
        <v>61</v>
      </c>
      <c r="AD18" s="79">
        <f>SQRT(AVERAGE(AA2:AA51))</f>
        <v>9226.1005482852324</v>
      </c>
      <c r="AE18" s="80" t="s">
        <v>62</v>
      </c>
      <c r="AF18" s="56"/>
    </row>
    <row r="19" spans="1:33" ht="13.2" x14ac:dyDescent="0.25">
      <c r="A19" s="153">
        <v>94657.16</v>
      </c>
      <c r="B19" s="153">
        <v>145077.57999999999</v>
      </c>
      <c r="C19" s="153">
        <v>282574.31</v>
      </c>
      <c r="D19" s="153" t="s">
        <v>11</v>
      </c>
      <c r="E19" s="153">
        <v>125370.37</v>
      </c>
      <c r="F19" s="5"/>
      <c r="G19" s="5"/>
      <c r="H19" s="5"/>
      <c r="I19" s="5"/>
      <c r="J19" s="5"/>
      <c r="K19" s="5"/>
      <c r="L19" s="150">
        <v>94657.16</v>
      </c>
      <c r="M19" s="151">
        <v>125370.37</v>
      </c>
      <c r="N19" s="7"/>
      <c r="O19" s="7"/>
      <c r="P19" s="7"/>
      <c r="Q19" s="7"/>
      <c r="R19" s="7"/>
      <c r="S19" s="7"/>
      <c r="T19" s="7"/>
      <c r="U19" s="7"/>
      <c r="V19" s="26"/>
      <c r="W19" s="147">
        <f t="shared" si="0"/>
        <v>129897.69412682633</v>
      </c>
      <c r="X19" s="148">
        <f t="shared" si="1"/>
        <v>-4527.3241268263373</v>
      </c>
      <c r="Y19" s="147">
        <f t="shared" si="2"/>
        <v>4527.3241268263373</v>
      </c>
      <c r="Z19" s="149">
        <f t="shared" si="3"/>
        <v>3.611159580071701E-2</v>
      </c>
      <c r="AA19" s="147">
        <f t="shared" si="4"/>
        <v>20496663.749343857</v>
      </c>
      <c r="AB19" s="36"/>
      <c r="AC19" s="29"/>
      <c r="AD19" s="28"/>
      <c r="AE19" s="28"/>
      <c r="AF19" s="29"/>
      <c r="AG19" s="84"/>
    </row>
    <row r="20" spans="1:33" ht="13.2" x14ac:dyDescent="0.25">
      <c r="A20" s="153">
        <v>91749.16</v>
      </c>
      <c r="B20" s="153">
        <v>114175.79</v>
      </c>
      <c r="C20" s="153">
        <v>294919.57</v>
      </c>
      <c r="D20" s="153" t="s">
        <v>18</v>
      </c>
      <c r="E20" s="153">
        <v>124266.9</v>
      </c>
      <c r="F20" s="5"/>
      <c r="G20" s="5"/>
      <c r="H20" s="5"/>
      <c r="I20" s="5"/>
      <c r="J20" s="5"/>
      <c r="K20" s="5"/>
      <c r="L20" s="150">
        <v>91749.16</v>
      </c>
      <c r="M20" s="151">
        <v>124266.9</v>
      </c>
      <c r="N20" s="7"/>
      <c r="O20" s="7"/>
      <c r="P20" s="7"/>
      <c r="Q20" s="7"/>
      <c r="R20" s="7"/>
      <c r="S20" s="7"/>
      <c r="T20" s="7"/>
      <c r="U20" s="7"/>
      <c r="V20" s="26"/>
      <c r="W20" s="147">
        <f t="shared" si="0"/>
        <v>127413.41482013627</v>
      </c>
      <c r="X20" s="148">
        <f t="shared" si="1"/>
        <v>-3146.5148201362754</v>
      </c>
      <c r="Y20" s="147">
        <f t="shared" si="2"/>
        <v>3146.5148201362754</v>
      </c>
      <c r="Z20" s="149">
        <f t="shared" si="3"/>
        <v>2.5320618926973116E-2</v>
      </c>
      <c r="AA20" s="147">
        <f t="shared" si="4"/>
        <v>9900555.5133372173</v>
      </c>
      <c r="AB20" s="36"/>
      <c r="AC20" s="28"/>
      <c r="AD20" s="28"/>
      <c r="AE20" s="28"/>
      <c r="AF20" s="29"/>
      <c r="AG20" s="84"/>
    </row>
    <row r="21" spans="1:33" ht="15" x14ac:dyDescent="0.3">
      <c r="A21" s="153">
        <v>86419.7</v>
      </c>
      <c r="B21" s="153">
        <v>153514.10999999999</v>
      </c>
      <c r="C21" s="153">
        <v>0</v>
      </c>
      <c r="D21" s="153" t="s">
        <v>11</v>
      </c>
      <c r="E21" s="153">
        <v>122776.86</v>
      </c>
      <c r="F21" s="5"/>
      <c r="G21" s="5"/>
      <c r="H21" s="5"/>
      <c r="I21" s="5"/>
      <c r="J21" s="5"/>
      <c r="K21" s="5"/>
      <c r="L21" s="150">
        <v>86419.7</v>
      </c>
      <c r="M21" s="151">
        <v>122776.86</v>
      </c>
      <c r="N21" s="7"/>
      <c r="O21" s="7"/>
      <c r="P21" s="7"/>
      <c r="Q21" s="7"/>
      <c r="R21" s="7"/>
      <c r="S21" s="7"/>
      <c r="T21" s="7"/>
      <c r="U21" s="7"/>
      <c r="V21" s="26"/>
      <c r="W21" s="147">
        <f t="shared" si="0"/>
        <v>122860.50313037273</v>
      </c>
      <c r="X21" s="148">
        <f t="shared" si="1"/>
        <v>-83.643130372729502</v>
      </c>
      <c r="Y21" s="147">
        <f t="shared" si="2"/>
        <v>83.643130372729502</v>
      </c>
      <c r="Z21" s="149">
        <f t="shared" si="3"/>
        <v>6.8126135798496151E-4</v>
      </c>
      <c r="AA21" s="147">
        <f t="shared" si="4"/>
        <v>6996.1732585494246</v>
      </c>
      <c r="AB21" s="36"/>
      <c r="AC21" s="54" t="s">
        <v>63</v>
      </c>
      <c r="AD21" s="55"/>
      <c r="AE21" s="55"/>
      <c r="AF21" s="57"/>
      <c r="AG21" s="16"/>
    </row>
    <row r="22" spans="1:33" ht="15" x14ac:dyDescent="0.3">
      <c r="A22" s="153">
        <v>76253.86</v>
      </c>
      <c r="B22" s="153">
        <v>113867.3</v>
      </c>
      <c r="C22" s="153">
        <v>298664.46999999997</v>
      </c>
      <c r="D22" s="153" t="s">
        <v>15</v>
      </c>
      <c r="E22" s="153">
        <v>118474.03</v>
      </c>
      <c r="F22" s="5"/>
      <c r="G22" s="5"/>
      <c r="H22" s="5"/>
      <c r="I22" s="5"/>
      <c r="J22" s="5"/>
      <c r="K22" s="5"/>
      <c r="L22" s="150">
        <v>76253.86</v>
      </c>
      <c r="M22" s="151">
        <v>118474.03</v>
      </c>
      <c r="N22" s="7"/>
      <c r="O22" s="7"/>
      <c r="P22" s="7"/>
      <c r="Q22" s="7"/>
      <c r="R22" s="7"/>
      <c r="S22" s="7"/>
      <c r="T22" s="7"/>
      <c r="U22" s="7"/>
      <c r="V22" s="26"/>
      <c r="W22" s="147">
        <f t="shared" si="0"/>
        <v>114175.91374002815</v>
      </c>
      <c r="X22" s="148">
        <f t="shared" si="1"/>
        <v>4298.1162599718518</v>
      </c>
      <c r="Y22" s="147">
        <f t="shared" si="2"/>
        <v>4298.1162599718518</v>
      </c>
      <c r="Z22" s="149">
        <f t="shared" si="3"/>
        <v>3.6278974050024733E-2</v>
      </c>
      <c r="AA22" s="147">
        <f t="shared" si="4"/>
        <v>18473803.384234421</v>
      </c>
      <c r="AB22" s="36"/>
      <c r="AC22" s="52">
        <v>1</v>
      </c>
      <c r="AD22" s="320" t="s">
        <v>25</v>
      </c>
      <c r="AE22" s="320"/>
      <c r="AF22" s="81"/>
    </row>
    <row r="23" spans="1:33" ht="15" x14ac:dyDescent="0.3">
      <c r="A23" s="153">
        <v>78389.47</v>
      </c>
      <c r="B23" s="153">
        <v>153773.43</v>
      </c>
      <c r="C23" s="153">
        <v>299737.28999999998</v>
      </c>
      <c r="D23" s="153" t="s">
        <v>11</v>
      </c>
      <c r="E23" s="153">
        <v>111313.02</v>
      </c>
      <c r="F23" s="5"/>
      <c r="G23" s="5"/>
      <c r="H23" s="5"/>
      <c r="I23" s="5"/>
      <c r="J23" s="5"/>
      <c r="K23" s="5"/>
      <c r="L23" s="150">
        <v>78389.47</v>
      </c>
      <c r="M23" s="151">
        <v>111313.02</v>
      </c>
      <c r="N23" s="7"/>
      <c r="O23" s="7"/>
      <c r="P23" s="7"/>
      <c r="Q23" s="7"/>
      <c r="R23" s="7"/>
      <c r="S23" s="7"/>
      <c r="T23" s="7"/>
      <c r="U23" s="7"/>
      <c r="V23" s="26"/>
      <c r="W23" s="147">
        <f t="shared" si="0"/>
        <v>116000.34693471878</v>
      </c>
      <c r="X23" s="148">
        <f t="shared" si="1"/>
        <v>-4687.3269347187743</v>
      </c>
      <c r="Y23" s="147">
        <f t="shared" si="2"/>
        <v>4687.3269347187743</v>
      </c>
      <c r="Z23" s="149">
        <f t="shared" si="3"/>
        <v>4.2109422012975427E-2</v>
      </c>
      <c r="AA23" s="147">
        <f t="shared" si="4"/>
        <v>21971033.792940099</v>
      </c>
      <c r="AB23" s="36"/>
      <c r="AC23" s="52">
        <v>2</v>
      </c>
      <c r="AD23" s="320" t="s">
        <v>37</v>
      </c>
      <c r="AE23" s="320"/>
      <c r="AF23" s="320"/>
    </row>
    <row r="24" spans="1:33" ht="15" x14ac:dyDescent="0.3">
      <c r="A24" s="153">
        <v>73994.559999999998</v>
      </c>
      <c r="B24" s="153">
        <v>122782.75</v>
      </c>
      <c r="C24" s="153">
        <v>303319.26</v>
      </c>
      <c r="D24" s="153" t="s">
        <v>18</v>
      </c>
      <c r="E24" s="153">
        <v>110352.25</v>
      </c>
      <c r="F24" s="5"/>
      <c r="G24" s="5"/>
      <c r="H24" s="5"/>
      <c r="I24" s="5"/>
      <c r="J24" s="5"/>
      <c r="K24" s="5"/>
      <c r="L24" s="150">
        <v>73994.559999999998</v>
      </c>
      <c r="M24" s="151">
        <v>110352.25</v>
      </c>
      <c r="N24" s="7"/>
      <c r="O24" s="7"/>
      <c r="P24" s="7"/>
      <c r="Q24" s="7"/>
      <c r="R24" s="7"/>
      <c r="S24" s="7"/>
      <c r="T24" s="7"/>
      <c r="U24" s="7"/>
      <c r="V24" s="26"/>
      <c r="W24" s="147">
        <f t="shared" si="0"/>
        <v>112245.8132456661</v>
      </c>
      <c r="X24" s="148">
        <f t="shared" si="1"/>
        <v>-1893.5632456660969</v>
      </c>
      <c r="Y24" s="147">
        <f t="shared" si="2"/>
        <v>1893.5632456660969</v>
      </c>
      <c r="Z24" s="149">
        <f t="shared" si="3"/>
        <v>1.7159262685319938E-2</v>
      </c>
      <c r="AA24" s="147">
        <f t="shared" si="4"/>
        <v>3585581.7653375235</v>
      </c>
      <c r="AB24" s="36"/>
      <c r="AC24" s="52">
        <v>3</v>
      </c>
      <c r="AD24" s="320" t="s">
        <v>64</v>
      </c>
      <c r="AE24" s="320"/>
      <c r="AF24" s="320"/>
    </row>
    <row r="25" spans="1:33" ht="15" x14ac:dyDescent="0.3">
      <c r="A25" s="153">
        <v>67532.53</v>
      </c>
      <c r="B25" s="153">
        <v>105751.03</v>
      </c>
      <c r="C25" s="153">
        <v>304768.73</v>
      </c>
      <c r="D25" s="153" t="s">
        <v>18</v>
      </c>
      <c r="E25" s="153">
        <v>108733.99</v>
      </c>
      <c r="F25" s="5"/>
      <c r="G25" s="5"/>
      <c r="H25" s="5"/>
      <c r="I25" s="5"/>
      <c r="J25" s="5"/>
      <c r="K25" s="5"/>
      <c r="L25" s="150">
        <v>67532.53</v>
      </c>
      <c r="M25" s="151">
        <v>108733.99</v>
      </c>
      <c r="N25" s="7"/>
      <c r="O25" s="7"/>
      <c r="P25" s="7"/>
      <c r="Q25" s="7"/>
      <c r="R25" s="7"/>
      <c r="S25" s="7"/>
      <c r="T25" s="7"/>
      <c r="U25" s="7"/>
      <c r="V25" s="26"/>
      <c r="W25" s="147">
        <f t="shared" si="0"/>
        <v>106725.35677791838</v>
      </c>
      <c r="X25" s="148">
        <f t="shared" si="1"/>
        <v>2008.6332220816257</v>
      </c>
      <c r="Y25" s="147">
        <f t="shared" si="2"/>
        <v>2008.6332220816257</v>
      </c>
      <c r="Z25" s="149">
        <f t="shared" si="3"/>
        <v>1.8472910099975412E-2</v>
      </c>
      <c r="AA25" s="147">
        <f t="shared" si="4"/>
        <v>4034607.4208500134</v>
      </c>
      <c r="AB25" s="36"/>
      <c r="AC25" s="53">
        <v>4</v>
      </c>
      <c r="AD25" s="320" t="s">
        <v>65</v>
      </c>
      <c r="AE25" s="320"/>
      <c r="AF25" s="320"/>
    </row>
    <row r="26" spans="1:33" ht="15" x14ac:dyDescent="0.3">
      <c r="A26" s="153">
        <v>77044.009999999995</v>
      </c>
      <c r="B26" s="153">
        <v>99281.34</v>
      </c>
      <c r="C26" s="153">
        <v>140574.81</v>
      </c>
      <c r="D26" s="153" t="s">
        <v>11</v>
      </c>
      <c r="E26" s="153">
        <v>108552.04</v>
      </c>
      <c r="F26" s="5"/>
      <c r="G26" s="5"/>
      <c r="H26" s="5"/>
      <c r="I26" s="5"/>
      <c r="J26" s="5"/>
      <c r="K26" s="5"/>
      <c r="L26" s="150">
        <v>77044.009999999995</v>
      </c>
      <c r="M26" s="151">
        <v>108552.04</v>
      </c>
      <c r="N26" s="7"/>
      <c r="O26" s="7"/>
      <c r="P26" s="7"/>
      <c r="Q26" s="7"/>
      <c r="R26" s="7"/>
      <c r="S26" s="7"/>
      <c r="T26" s="7"/>
      <c r="U26" s="7"/>
      <c r="V26" s="26"/>
      <c r="W26" s="147">
        <f t="shared" si="0"/>
        <v>114850.93206677545</v>
      </c>
      <c r="X26" s="148">
        <f t="shared" si="1"/>
        <v>-6298.8920667754574</v>
      </c>
      <c r="Y26" s="147">
        <f t="shared" si="2"/>
        <v>6298.8920667754574</v>
      </c>
      <c r="Z26" s="149">
        <f t="shared" si="3"/>
        <v>5.8026473447900725E-2</v>
      </c>
      <c r="AA26" s="147">
        <f t="shared" si="4"/>
        <v>39676041.26888679</v>
      </c>
      <c r="AB26" s="36"/>
      <c r="AC26" s="52">
        <v>5</v>
      </c>
      <c r="AD26" s="82" t="s">
        <v>66</v>
      </c>
      <c r="AE26" s="82" t="s">
        <v>67</v>
      </c>
      <c r="AF26" s="83"/>
    </row>
    <row r="27" spans="1:33" ht="14.4" x14ac:dyDescent="0.3">
      <c r="A27" s="153">
        <v>64664.71</v>
      </c>
      <c r="B27" s="153">
        <v>139553.16</v>
      </c>
      <c r="C27" s="153">
        <v>137962.62</v>
      </c>
      <c r="D27" s="153" t="s">
        <v>15</v>
      </c>
      <c r="E27" s="153">
        <v>107404.34</v>
      </c>
      <c r="F27" s="5"/>
      <c r="G27" s="5"/>
      <c r="H27" s="5"/>
      <c r="I27" s="5"/>
      <c r="J27" s="5"/>
      <c r="K27" s="5"/>
      <c r="L27" s="150">
        <v>64664.71</v>
      </c>
      <c r="M27" s="151">
        <v>107404.34</v>
      </c>
      <c r="N27" s="7"/>
      <c r="O27" s="7"/>
      <c r="P27" s="7"/>
      <c r="Q27" s="7"/>
      <c r="R27" s="7"/>
      <c r="S27" s="7"/>
      <c r="T27" s="7"/>
      <c r="U27" s="7"/>
      <c r="V27" s="26"/>
      <c r="W27" s="147">
        <f t="shared" si="0"/>
        <v>104275.40289851265</v>
      </c>
      <c r="X27" s="148">
        <f t="shared" si="1"/>
        <v>3128.9371014873468</v>
      </c>
      <c r="Y27" s="147">
        <f t="shared" si="2"/>
        <v>3128.9371014873468</v>
      </c>
      <c r="Z27" s="149">
        <f t="shared" si="3"/>
        <v>2.9132315337418831E-2</v>
      </c>
      <c r="AA27" s="147">
        <f t="shared" si="4"/>
        <v>9790247.3850640394</v>
      </c>
      <c r="AB27" s="36"/>
      <c r="AC27" s="58" t="s">
        <v>68</v>
      </c>
      <c r="AD27" s="59">
        <v>45748</v>
      </c>
      <c r="AE27" s="61"/>
      <c r="AF27" s="60"/>
      <c r="AG27" s="16"/>
    </row>
    <row r="28" spans="1:33" ht="13.2" x14ac:dyDescent="0.25">
      <c r="A28" s="153">
        <v>75328.87</v>
      </c>
      <c r="B28" s="153">
        <v>144135.98000000001</v>
      </c>
      <c r="C28" s="153">
        <v>134050.07</v>
      </c>
      <c r="D28" s="153" t="s">
        <v>18</v>
      </c>
      <c r="E28" s="153">
        <v>105733.54</v>
      </c>
      <c r="F28" s="5"/>
      <c r="G28" s="5"/>
      <c r="H28" s="5"/>
      <c r="I28" s="5"/>
      <c r="J28" s="5"/>
      <c r="K28" s="5"/>
      <c r="L28" s="150">
        <v>75328.87</v>
      </c>
      <c r="M28" s="151">
        <v>105733.54</v>
      </c>
      <c r="N28" s="7"/>
      <c r="O28" s="7"/>
      <c r="P28" s="7"/>
      <c r="Q28" s="7"/>
      <c r="R28" s="7"/>
      <c r="S28" s="7"/>
      <c r="T28" s="7"/>
      <c r="U28" s="7"/>
      <c r="V28" s="26"/>
      <c r="W28" s="147">
        <f t="shared" si="0"/>
        <v>113385.70276482345</v>
      </c>
      <c r="X28" s="148">
        <f t="shared" si="1"/>
        <v>-7652.1627648234571</v>
      </c>
      <c r="Y28" s="147">
        <f t="shared" si="2"/>
        <v>7652.1627648234571</v>
      </c>
      <c r="Z28" s="149">
        <f t="shared" si="3"/>
        <v>7.2372141941180232E-2</v>
      </c>
      <c r="AA28" s="147">
        <f t="shared" si="4"/>
        <v>58555594.979350574</v>
      </c>
      <c r="AB28" s="33"/>
      <c r="AC28" s="139" t="s">
        <v>101</v>
      </c>
      <c r="AD28" s="321" t="s">
        <v>69</v>
      </c>
      <c r="AE28" s="36"/>
      <c r="AF28" s="56"/>
    </row>
    <row r="29" spans="1:33" ht="13.2" x14ac:dyDescent="0.25">
      <c r="A29" s="153">
        <v>72107.600000000006</v>
      </c>
      <c r="B29" s="153">
        <v>127864.55</v>
      </c>
      <c r="C29" s="153">
        <v>353183.81</v>
      </c>
      <c r="D29" s="153" t="s">
        <v>11</v>
      </c>
      <c r="E29" s="153">
        <v>105008.31</v>
      </c>
      <c r="F29" s="5"/>
      <c r="G29" s="5"/>
      <c r="H29" s="5"/>
      <c r="I29" s="5"/>
      <c r="J29" s="5"/>
      <c r="K29" s="5"/>
      <c r="L29" s="150">
        <v>72107.600000000006</v>
      </c>
      <c r="M29" s="151">
        <v>105008.31</v>
      </c>
      <c r="N29" s="7"/>
      <c r="O29" s="7"/>
      <c r="P29" s="7"/>
      <c r="Q29" s="7"/>
      <c r="R29" s="7"/>
      <c r="S29" s="7"/>
      <c r="T29" s="7"/>
      <c r="U29" s="7"/>
      <c r="V29" s="26"/>
      <c r="W29" s="147">
        <f t="shared" si="0"/>
        <v>110633.7996003594</v>
      </c>
      <c r="X29" s="148">
        <f t="shared" si="1"/>
        <v>-5625.489600359404</v>
      </c>
      <c r="Y29" s="147">
        <f t="shared" si="2"/>
        <v>5625.489600359404</v>
      </c>
      <c r="Z29" s="149">
        <f t="shared" si="3"/>
        <v>5.357185160259606E-2</v>
      </c>
      <c r="AA29" s="147">
        <f t="shared" si="4"/>
        <v>31646133.243751805</v>
      </c>
      <c r="AB29" s="36"/>
      <c r="AC29" s="36"/>
      <c r="AD29" s="322"/>
      <c r="AE29" s="36"/>
      <c r="AF29" s="56"/>
    </row>
    <row r="30" spans="1:33" ht="13.2" x14ac:dyDescent="0.25">
      <c r="A30" s="153">
        <v>66051.520000000004</v>
      </c>
      <c r="B30" s="153">
        <v>182645.56</v>
      </c>
      <c r="C30" s="153">
        <v>118148.2</v>
      </c>
      <c r="D30" s="153" t="s">
        <v>18</v>
      </c>
      <c r="E30" s="153">
        <v>103282.38</v>
      </c>
      <c r="F30" s="5"/>
      <c r="G30" s="5"/>
      <c r="H30" s="5"/>
      <c r="I30" s="5"/>
      <c r="J30" s="5"/>
      <c r="K30" s="5"/>
      <c r="L30" s="150">
        <v>66051.520000000004</v>
      </c>
      <c r="M30" s="151">
        <v>103282.38</v>
      </c>
      <c r="N30" s="7"/>
      <c r="O30" s="7"/>
      <c r="P30" s="7"/>
      <c r="Q30" s="7"/>
      <c r="R30" s="7"/>
      <c r="S30" s="7"/>
      <c r="T30" s="7"/>
      <c r="U30" s="7"/>
      <c r="V30" s="26"/>
      <c r="W30" s="147">
        <f t="shared" si="0"/>
        <v>105460.1427146443</v>
      </c>
      <c r="X30" s="148">
        <f t="shared" si="1"/>
        <v>-2177.7627146442974</v>
      </c>
      <c r="Y30" s="147">
        <f t="shared" si="2"/>
        <v>2177.7627146442974</v>
      </c>
      <c r="Z30" s="149">
        <f t="shared" si="3"/>
        <v>2.1085520246960782E-2</v>
      </c>
      <c r="AA30" s="147">
        <f t="shared" si="4"/>
        <v>4742650.4412948992</v>
      </c>
      <c r="AB30" s="36"/>
      <c r="AC30" s="36"/>
      <c r="AD30" s="322"/>
      <c r="AE30" s="36"/>
      <c r="AF30" s="56"/>
    </row>
    <row r="31" spans="1:33" ht="13.2" x14ac:dyDescent="0.25">
      <c r="A31" s="153">
        <v>65605.48</v>
      </c>
      <c r="B31" s="153">
        <v>153032.06</v>
      </c>
      <c r="C31" s="153">
        <v>107138.38</v>
      </c>
      <c r="D31" s="153" t="s">
        <v>11</v>
      </c>
      <c r="E31" s="153">
        <v>101004.64</v>
      </c>
      <c r="F31" s="5"/>
      <c r="G31" s="5"/>
      <c r="H31" s="5"/>
      <c r="I31" s="5"/>
      <c r="J31" s="5"/>
      <c r="K31" s="5"/>
      <c r="L31" s="150">
        <v>65605.48</v>
      </c>
      <c r="M31" s="151">
        <v>101004.64</v>
      </c>
      <c r="N31" s="7"/>
      <c r="O31" s="7"/>
      <c r="P31" s="7"/>
      <c r="Q31" s="7"/>
      <c r="R31" s="7"/>
      <c r="S31" s="7"/>
      <c r="T31" s="7"/>
      <c r="U31" s="7"/>
      <c r="V31" s="26"/>
      <c r="W31" s="147">
        <f t="shared" si="0"/>
        <v>105079.09459155075</v>
      </c>
      <c r="X31" s="148">
        <f t="shared" si="1"/>
        <v>-4074.4545915507479</v>
      </c>
      <c r="Y31" s="147">
        <f t="shared" si="2"/>
        <v>4074.4545915507479</v>
      </c>
      <c r="Z31" s="149">
        <f t="shared" si="3"/>
        <v>4.0339281359259814E-2</v>
      </c>
      <c r="AA31" s="147">
        <f t="shared" si="4"/>
        <v>16601180.218608972</v>
      </c>
      <c r="AB31" s="36"/>
      <c r="AC31" s="36"/>
      <c r="AD31" s="322"/>
      <c r="AE31" s="36"/>
      <c r="AF31" s="36"/>
    </row>
    <row r="32" spans="1:33" ht="13.2" x14ac:dyDescent="0.25">
      <c r="A32" s="153">
        <v>61994.48</v>
      </c>
      <c r="B32" s="153">
        <v>115641.28</v>
      </c>
      <c r="C32" s="153">
        <v>91131.24</v>
      </c>
      <c r="D32" s="153" t="s">
        <v>18</v>
      </c>
      <c r="E32" s="153">
        <v>99937.59</v>
      </c>
      <c r="F32" s="5"/>
      <c r="G32" s="5"/>
      <c r="H32" s="5"/>
      <c r="I32" s="5"/>
      <c r="J32" s="5"/>
      <c r="K32" s="5"/>
      <c r="L32" s="150">
        <v>61994.48</v>
      </c>
      <c r="M32" s="151">
        <v>99937.59</v>
      </c>
      <c r="N32" s="7"/>
      <c r="O32" s="7"/>
      <c r="P32" s="7"/>
      <c r="Q32" s="7"/>
      <c r="R32" s="7"/>
      <c r="S32" s="7"/>
      <c r="T32" s="7"/>
      <c r="U32" s="7"/>
      <c r="V32" s="26"/>
      <c r="W32" s="147">
        <f t="shared" si="0"/>
        <v>101994.24845109071</v>
      </c>
      <c r="X32" s="148">
        <f t="shared" si="1"/>
        <v>-2056.6584510907123</v>
      </c>
      <c r="Y32" s="147">
        <f t="shared" si="2"/>
        <v>2056.6584510907123</v>
      </c>
      <c r="Z32" s="149">
        <f t="shared" si="3"/>
        <v>2.0579428132004307E-2</v>
      </c>
      <c r="AA32" s="147">
        <f t="shared" si="4"/>
        <v>4229843.9844428478</v>
      </c>
      <c r="AB32" s="36"/>
      <c r="AC32" s="36"/>
      <c r="AD32" s="322"/>
      <c r="AE32" s="36"/>
      <c r="AF32" s="56"/>
    </row>
    <row r="33" spans="1:33" ht="13.2" x14ac:dyDescent="0.25">
      <c r="A33" s="153">
        <v>61136.38</v>
      </c>
      <c r="B33" s="153">
        <v>152701.92000000001</v>
      </c>
      <c r="C33" s="153">
        <v>88218.23</v>
      </c>
      <c r="D33" s="153" t="s">
        <v>11</v>
      </c>
      <c r="E33" s="153">
        <v>97483.56</v>
      </c>
      <c r="F33" s="5"/>
      <c r="G33" s="5"/>
      <c r="H33" s="5"/>
      <c r="I33" s="5"/>
      <c r="J33" s="5"/>
      <c r="K33" s="5"/>
      <c r="L33" s="150">
        <v>61136.38</v>
      </c>
      <c r="M33" s="151">
        <v>97483.56</v>
      </c>
      <c r="N33" s="7"/>
      <c r="O33" s="7"/>
      <c r="P33" s="7"/>
      <c r="Q33" s="7"/>
      <c r="R33" s="7"/>
      <c r="S33" s="7"/>
      <c r="T33" s="7"/>
      <c r="U33" s="7"/>
      <c r="V33" s="26"/>
      <c r="W33" s="147">
        <f t="shared" si="0"/>
        <v>101261.18102568813</v>
      </c>
      <c r="X33" s="148">
        <f t="shared" si="1"/>
        <v>-3777.6210256881313</v>
      </c>
      <c r="Y33" s="147">
        <f t="shared" si="2"/>
        <v>3777.6210256881313</v>
      </c>
      <c r="Z33" s="149">
        <f t="shared" si="3"/>
        <v>3.8751365109031016E-2</v>
      </c>
      <c r="AA33" s="147">
        <f t="shared" si="4"/>
        <v>14270420.61372105</v>
      </c>
      <c r="AB33" s="36"/>
      <c r="AC33" s="36"/>
      <c r="AD33" s="322"/>
      <c r="AE33" s="36"/>
      <c r="AF33" s="56"/>
    </row>
    <row r="34" spans="1:33" ht="13.2" x14ac:dyDescent="0.25">
      <c r="A34" s="153">
        <v>63408.86</v>
      </c>
      <c r="B34" s="153">
        <v>129219.61</v>
      </c>
      <c r="C34" s="153">
        <v>46085.25</v>
      </c>
      <c r="D34" s="153" t="s">
        <v>15</v>
      </c>
      <c r="E34" s="153">
        <v>97427.839999999997</v>
      </c>
      <c r="F34" s="5"/>
      <c r="G34" s="5"/>
      <c r="H34" s="5"/>
      <c r="I34" s="5"/>
      <c r="J34" s="5"/>
      <c r="K34" s="5"/>
      <c r="L34" s="150">
        <v>63408.86</v>
      </c>
      <c r="M34" s="151">
        <v>97427.839999999997</v>
      </c>
      <c r="N34" s="7"/>
      <c r="O34" s="7"/>
      <c r="P34" s="7"/>
      <c r="Q34" s="7"/>
      <c r="R34" s="7"/>
      <c r="S34" s="7"/>
      <c r="T34" s="7"/>
      <c r="U34" s="7"/>
      <c r="V34" s="26"/>
      <c r="W34" s="147">
        <f t="shared" ref="W34:W51" si="5">$Q$8*L34+$S$8</f>
        <v>103202.54108031915</v>
      </c>
      <c r="X34" s="148">
        <f t="shared" si="1"/>
        <v>-5774.7010803191515</v>
      </c>
      <c r="Y34" s="147">
        <f t="shared" si="2"/>
        <v>5774.7010803191515</v>
      </c>
      <c r="Z34" s="149">
        <f t="shared" si="3"/>
        <v>5.9271570429141732E-2</v>
      </c>
      <c r="AA34" s="147">
        <f t="shared" si="4"/>
        <v>33347172.567039177</v>
      </c>
      <c r="AB34" s="36"/>
      <c r="AC34" s="36"/>
      <c r="AD34" s="322"/>
      <c r="AE34" s="36"/>
      <c r="AF34" s="62"/>
      <c r="AG34" s="86"/>
    </row>
    <row r="35" spans="1:33" ht="13.2" x14ac:dyDescent="0.25">
      <c r="A35" s="153">
        <v>55493.95</v>
      </c>
      <c r="B35" s="153">
        <v>103057.49</v>
      </c>
      <c r="C35" s="153">
        <v>214634.81</v>
      </c>
      <c r="D35" s="153" t="s">
        <v>18</v>
      </c>
      <c r="E35" s="153">
        <v>96778.92</v>
      </c>
      <c r="F35" s="5"/>
      <c r="G35" s="5"/>
      <c r="H35" s="5"/>
      <c r="I35" s="5"/>
      <c r="J35" s="5"/>
      <c r="K35" s="5"/>
      <c r="L35" s="150">
        <v>55493.95</v>
      </c>
      <c r="M35" s="151">
        <v>96778.92</v>
      </c>
      <c r="N35" s="7"/>
      <c r="O35" s="7"/>
      <c r="P35" s="7"/>
      <c r="Q35" s="7"/>
      <c r="R35" s="7"/>
      <c r="S35" s="7"/>
      <c r="T35" s="7"/>
      <c r="U35" s="7"/>
      <c r="V35" s="26"/>
      <c r="W35" s="147">
        <f t="shared" si="5"/>
        <v>96440.901765561852</v>
      </c>
      <c r="X35" s="148">
        <f t="shared" si="1"/>
        <v>338.01823443814646</v>
      </c>
      <c r="Y35" s="147">
        <f t="shared" si="2"/>
        <v>338.01823443814646</v>
      </c>
      <c r="Z35" s="149">
        <f t="shared" si="3"/>
        <v>3.4926845064828837E-3</v>
      </c>
      <c r="AA35" s="147">
        <f t="shared" si="4"/>
        <v>114256.32681268174</v>
      </c>
      <c r="AB35" s="36"/>
      <c r="AC35" s="47"/>
      <c r="AD35" s="47"/>
      <c r="AE35" s="47"/>
      <c r="AF35" s="57"/>
      <c r="AG35" s="16"/>
    </row>
    <row r="36" spans="1:33" ht="18" x14ac:dyDescent="0.35">
      <c r="A36" s="153">
        <v>46426.07</v>
      </c>
      <c r="B36" s="153">
        <v>157693.92000000001</v>
      </c>
      <c r="C36" s="153">
        <v>210797.67</v>
      </c>
      <c r="D36" s="153" t="s">
        <v>15</v>
      </c>
      <c r="E36" s="153">
        <v>96712.8</v>
      </c>
      <c r="F36" s="5"/>
      <c r="G36" s="5"/>
      <c r="H36" s="5"/>
      <c r="I36" s="5"/>
      <c r="J36" s="5"/>
      <c r="K36" s="5"/>
      <c r="L36" s="150">
        <v>46426.07</v>
      </c>
      <c r="M36" s="151">
        <v>96712.8</v>
      </c>
      <c r="N36" s="7"/>
      <c r="O36" s="7"/>
      <c r="P36" s="7"/>
      <c r="Q36" s="7"/>
      <c r="R36" s="7"/>
      <c r="S36" s="7"/>
      <c r="T36" s="7"/>
      <c r="U36" s="7"/>
      <c r="V36" s="26"/>
      <c r="W36" s="147">
        <f t="shared" si="5"/>
        <v>88694.290128853259</v>
      </c>
      <c r="X36" s="148">
        <f t="shared" si="1"/>
        <v>8018.5098711467435</v>
      </c>
      <c r="Y36" s="147">
        <f t="shared" si="2"/>
        <v>8018.5098711467435</v>
      </c>
      <c r="Z36" s="149">
        <f t="shared" si="3"/>
        <v>8.2910533777811657E-2</v>
      </c>
      <c r="AA36" s="147">
        <f t="shared" si="4"/>
        <v>64296500.553677768</v>
      </c>
      <c r="AB36" s="36"/>
      <c r="AC36" s="66" t="s">
        <v>70</v>
      </c>
      <c r="AD36" s="34"/>
      <c r="AE36" s="34"/>
      <c r="AF36" s="65"/>
      <c r="AG36" s="87"/>
    </row>
    <row r="37" spans="1:33" ht="13.2" x14ac:dyDescent="0.25">
      <c r="A37" s="153">
        <v>46014.02</v>
      </c>
      <c r="B37" s="153">
        <v>85047.44</v>
      </c>
      <c r="C37" s="153">
        <v>205517.64</v>
      </c>
      <c r="D37" s="153" t="s">
        <v>11</v>
      </c>
      <c r="E37" s="153">
        <v>96479.51</v>
      </c>
      <c r="F37" s="5"/>
      <c r="G37" s="5"/>
      <c r="H37" s="5"/>
      <c r="I37" s="5"/>
      <c r="J37" s="5"/>
      <c r="K37" s="5"/>
      <c r="L37" s="150">
        <v>46014.02</v>
      </c>
      <c r="M37" s="151">
        <v>96479.51</v>
      </c>
      <c r="N37" s="7"/>
      <c r="O37" s="7"/>
      <c r="P37" s="7"/>
      <c r="Q37" s="7"/>
      <c r="R37" s="7"/>
      <c r="S37" s="7"/>
      <c r="T37" s="7"/>
      <c r="U37" s="7"/>
      <c r="V37" s="26"/>
      <c r="W37" s="147">
        <f t="shared" si="5"/>
        <v>88342.279369457916</v>
      </c>
      <c r="X37" s="148">
        <f t="shared" si="1"/>
        <v>8137.2306305420789</v>
      </c>
      <c r="Y37" s="147">
        <f t="shared" si="2"/>
        <v>8137.2306305420789</v>
      </c>
      <c r="Z37" s="149">
        <f t="shared" si="3"/>
        <v>8.4341541852172339E-2</v>
      </c>
      <c r="AA37" s="147">
        <f t="shared" si="4"/>
        <v>66214522.33463224</v>
      </c>
      <c r="AB37" s="36"/>
      <c r="AC37" s="68">
        <v>192261.83</v>
      </c>
      <c r="AD37" s="90">
        <v>190289.29389288742</v>
      </c>
      <c r="AE37" s="47"/>
      <c r="AF37" s="57"/>
      <c r="AG37" s="16"/>
    </row>
    <row r="38" spans="1:33" ht="18" x14ac:dyDescent="0.4">
      <c r="A38" s="153">
        <v>28663.759999999998</v>
      </c>
      <c r="B38" s="153">
        <v>127056.21</v>
      </c>
      <c r="C38" s="153">
        <v>201126.82</v>
      </c>
      <c r="D38" s="153" t="s">
        <v>18</v>
      </c>
      <c r="E38" s="153">
        <v>90708.19</v>
      </c>
      <c r="F38" s="5"/>
      <c r="G38" s="5"/>
      <c r="H38" s="5"/>
      <c r="I38" s="5"/>
      <c r="J38" s="5"/>
      <c r="K38" s="5"/>
      <c r="L38" s="150">
        <v>28663.759999999998</v>
      </c>
      <c r="M38" s="151">
        <v>90708.19</v>
      </c>
      <c r="N38" s="7"/>
      <c r="O38" s="7"/>
      <c r="P38" s="7"/>
      <c r="Q38" s="7"/>
      <c r="R38" s="7"/>
      <c r="S38" s="7"/>
      <c r="T38" s="7"/>
      <c r="U38" s="7"/>
      <c r="V38" s="26"/>
      <c r="W38" s="147">
        <f t="shared" si="5"/>
        <v>73520.101967913128</v>
      </c>
      <c r="X38" s="148">
        <f t="shared" si="1"/>
        <v>17188.088032086875</v>
      </c>
      <c r="Y38" s="147">
        <f t="shared" si="2"/>
        <v>17188.088032086875</v>
      </c>
      <c r="Z38" s="149">
        <f t="shared" si="3"/>
        <v>0.18948771915840096</v>
      </c>
      <c r="AA38" s="147">
        <f t="shared" si="4"/>
        <v>295430370.19876802</v>
      </c>
      <c r="AB38" s="36"/>
      <c r="AC38" s="67" t="s">
        <v>71</v>
      </c>
      <c r="AD38" s="67" t="s">
        <v>8</v>
      </c>
      <c r="AE38" s="63"/>
      <c r="AF38" s="64"/>
      <c r="AG38" s="87"/>
    </row>
    <row r="39" spans="1:33" ht="15" x14ac:dyDescent="0.25">
      <c r="A39" s="153">
        <v>44069.95</v>
      </c>
      <c r="B39" s="153">
        <v>51283.14</v>
      </c>
      <c r="C39" s="153">
        <v>197029.42</v>
      </c>
      <c r="D39" s="153" t="s">
        <v>15</v>
      </c>
      <c r="E39" s="153">
        <v>89949.14</v>
      </c>
      <c r="F39" s="5"/>
      <c r="G39" s="5"/>
      <c r="H39" s="5"/>
      <c r="I39" s="5"/>
      <c r="J39" s="5"/>
      <c r="K39" s="5"/>
      <c r="L39" s="150">
        <v>44069.95</v>
      </c>
      <c r="M39" s="151">
        <v>89949.14</v>
      </c>
      <c r="N39" s="7"/>
      <c r="O39" s="7"/>
      <c r="P39" s="7"/>
      <c r="Q39" s="7"/>
      <c r="R39" s="7"/>
      <c r="S39" s="7"/>
      <c r="T39" s="7"/>
      <c r="U39" s="7"/>
      <c r="V39" s="26"/>
      <c r="W39" s="147">
        <f t="shared" si="5"/>
        <v>86681.477143956901</v>
      </c>
      <c r="X39" s="148">
        <f t="shared" si="1"/>
        <v>3267.6628560430981</v>
      </c>
      <c r="Y39" s="147">
        <f t="shared" si="2"/>
        <v>3267.6628560430981</v>
      </c>
      <c r="Z39" s="149">
        <f t="shared" si="3"/>
        <v>3.6327894363893845E-2</v>
      </c>
      <c r="AA39" s="147">
        <f t="shared" si="4"/>
        <v>10677620.540763738</v>
      </c>
      <c r="AB39" s="36"/>
      <c r="AC39" s="69" t="s">
        <v>72</v>
      </c>
      <c r="AD39" s="91">
        <v>0.94650000000000001</v>
      </c>
      <c r="AE39" s="70"/>
      <c r="AF39" s="71"/>
      <c r="AG39" s="88"/>
    </row>
    <row r="40" spans="1:33" ht="15" x14ac:dyDescent="0.25">
      <c r="A40" s="153">
        <v>20229.59</v>
      </c>
      <c r="B40" s="153">
        <v>65947.929999999993</v>
      </c>
      <c r="C40" s="153">
        <v>185265.1</v>
      </c>
      <c r="D40" s="153" t="s">
        <v>11</v>
      </c>
      <c r="E40" s="153">
        <v>81229.06</v>
      </c>
      <c r="F40" s="5"/>
      <c r="G40" s="5"/>
      <c r="H40" s="5"/>
      <c r="I40" s="5"/>
      <c r="J40" s="5"/>
      <c r="K40" s="5"/>
      <c r="L40" s="150">
        <v>20229.59</v>
      </c>
      <c r="M40" s="151">
        <v>81229.06</v>
      </c>
      <c r="N40" s="7"/>
      <c r="O40" s="7"/>
      <c r="P40" s="7"/>
      <c r="Q40" s="7"/>
      <c r="R40" s="7"/>
      <c r="S40" s="7"/>
      <c r="T40" s="7"/>
      <c r="U40" s="7"/>
      <c r="V40" s="26"/>
      <c r="W40" s="147">
        <f t="shared" si="5"/>
        <v>66314.863315882161</v>
      </c>
      <c r="X40" s="148">
        <f t="shared" si="1"/>
        <v>14914.196684117836</v>
      </c>
      <c r="Y40" s="147">
        <f t="shared" si="2"/>
        <v>14914.196684117836</v>
      </c>
      <c r="Z40" s="149">
        <f t="shared" si="3"/>
        <v>0.18360666347878254</v>
      </c>
      <c r="AA40" s="147">
        <f t="shared" si="4"/>
        <v>222433262.73255146</v>
      </c>
      <c r="AB40" s="36"/>
      <c r="AC40" s="72">
        <v>190289</v>
      </c>
      <c r="AD40" s="75" t="s">
        <v>8</v>
      </c>
      <c r="AE40" s="73"/>
      <c r="AF40" s="74"/>
      <c r="AG40" s="89"/>
    </row>
    <row r="41" spans="1:33" ht="19.8" x14ac:dyDescent="0.5">
      <c r="A41" s="153">
        <v>38558.51</v>
      </c>
      <c r="B41" s="153">
        <v>82982.09</v>
      </c>
      <c r="C41" s="153">
        <v>174999.3</v>
      </c>
      <c r="D41" s="153" t="s">
        <v>15</v>
      </c>
      <c r="E41" s="153">
        <v>81005.759999999995</v>
      </c>
      <c r="F41" s="5"/>
      <c r="G41" s="5"/>
      <c r="H41" s="5"/>
      <c r="I41" s="5"/>
      <c r="J41" s="5"/>
      <c r="K41" s="5"/>
      <c r="L41" s="150">
        <v>38558.51</v>
      </c>
      <c r="M41" s="151">
        <v>81005.759999999995</v>
      </c>
      <c r="N41" s="7"/>
      <c r="O41" s="7"/>
      <c r="P41" s="7"/>
      <c r="Q41" s="7"/>
      <c r="R41" s="7"/>
      <c r="S41" s="7"/>
      <c r="T41" s="7"/>
      <c r="U41" s="7"/>
      <c r="V41" s="26"/>
      <c r="W41" s="147">
        <f t="shared" si="5"/>
        <v>81973.101510509907</v>
      </c>
      <c r="X41" s="148">
        <f t="shared" si="1"/>
        <v>-967.34151050991204</v>
      </c>
      <c r="Y41" s="147">
        <f t="shared" si="2"/>
        <v>967.34151050991204</v>
      </c>
      <c r="Z41" s="149">
        <f t="shared" si="3"/>
        <v>1.1941638600883592E-2</v>
      </c>
      <c r="AA41" s="147">
        <f t="shared" si="4"/>
        <v>935749.59795559826</v>
      </c>
      <c r="AB41" s="36"/>
      <c r="AC41" s="141">
        <v>9226.1005482852324</v>
      </c>
      <c r="AD41" s="142" t="s">
        <v>61</v>
      </c>
      <c r="AE41" s="36"/>
      <c r="AF41" s="56"/>
    </row>
    <row r="42" spans="1:33" ht="15" x14ac:dyDescent="0.25">
      <c r="A42" s="153">
        <v>28754.33</v>
      </c>
      <c r="B42" s="153">
        <v>118546.05</v>
      </c>
      <c r="C42" s="153">
        <v>172795.67</v>
      </c>
      <c r="D42" s="153" t="s">
        <v>15</v>
      </c>
      <c r="E42" s="153">
        <v>78239.91</v>
      </c>
      <c r="F42" s="5"/>
      <c r="G42" s="5"/>
      <c r="H42" s="5"/>
      <c r="I42" s="5"/>
      <c r="J42" s="5"/>
      <c r="K42" s="5"/>
      <c r="L42" s="150">
        <v>28754.33</v>
      </c>
      <c r="M42" s="151">
        <v>78239.91</v>
      </c>
      <c r="N42" s="7"/>
      <c r="O42" s="7"/>
      <c r="P42" s="7"/>
      <c r="Q42" s="7"/>
      <c r="R42" s="7"/>
      <c r="S42" s="7"/>
      <c r="T42" s="7"/>
      <c r="U42" s="7"/>
      <c r="V42" s="26"/>
      <c r="W42" s="147">
        <f t="shared" si="5"/>
        <v>73597.475137379064</v>
      </c>
      <c r="X42" s="148">
        <f t="shared" si="1"/>
        <v>4642.4348626209394</v>
      </c>
      <c r="Y42" s="147">
        <f t="shared" si="2"/>
        <v>4642.4348626209394</v>
      </c>
      <c r="Z42" s="149">
        <f t="shared" si="3"/>
        <v>5.933589216323152E-2</v>
      </c>
      <c r="AA42" s="147">
        <f t="shared" si="4"/>
        <v>21552201.453678299</v>
      </c>
      <c r="AB42" s="36"/>
      <c r="AC42" s="92" t="s">
        <v>73</v>
      </c>
      <c r="AD42" s="92">
        <f>AC40-AC41</f>
        <v>181062.89945171477</v>
      </c>
      <c r="AE42" s="47"/>
      <c r="AF42" s="57"/>
      <c r="AG42" s="16"/>
    </row>
    <row r="43" spans="1:33" ht="15" x14ac:dyDescent="0.25">
      <c r="A43" s="153">
        <v>27892.92</v>
      </c>
      <c r="B43" s="153">
        <v>84710.77</v>
      </c>
      <c r="C43" s="153">
        <v>164470.71</v>
      </c>
      <c r="D43" s="153" t="s">
        <v>18</v>
      </c>
      <c r="E43" s="153">
        <v>77798.83</v>
      </c>
      <c r="F43" s="5"/>
      <c r="G43" s="5"/>
      <c r="H43" s="5"/>
      <c r="I43" s="5"/>
      <c r="J43" s="5"/>
      <c r="K43" s="5"/>
      <c r="L43" s="150">
        <v>27892.92</v>
      </c>
      <c r="M43" s="151">
        <v>77798.83</v>
      </c>
      <c r="N43" s="7"/>
      <c r="O43" s="7"/>
      <c r="P43" s="7"/>
      <c r="Q43" s="7"/>
      <c r="R43" s="7"/>
      <c r="S43" s="7"/>
      <c r="T43" s="7"/>
      <c r="U43" s="7"/>
      <c r="V43" s="26"/>
      <c r="W43" s="147">
        <f t="shared" si="5"/>
        <v>72861.580007538665</v>
      </c>
      <c r="X43" s="148">
        <f t="shared" si="1"/>
        <v>4937.2499924613367</v>
      </c>
      <c r="Y43" s="147">
        <f t="shared" si="2"/>
        <v>4937.2499924613367</v>
      </c>
      <c r="Z43" s="149">
        <f t="shared" si="3"/>
        <v>6.3461751191648208E-2</v>
      </c>
      <c r="AA43" s="147">
        <f t="shared" si="4"/>
        <v>24376437.488059469</v>
      </c>
      <c r="AB43" s="36"/>
      <c r="AC43" s="92" t="s">
        <v>74</v>
      </c>
      <c r="AD43" s="92">
        <f>AC40+AC41</f>
        <v>199515.10054828523</v>
      </c>
      <c r="AE43" s="47"/>
      <c r="AF43" s="57"/>
      <c r="AG43" s="16"/>
    </row>
    <row r="44" spans="1:33" ht="16.8" x14ac:dyDescent="0.4">
      <c r="A44" s="153">
        <v>23640.93</v>
      </c>
      <c r="B44" s="153">
        <v>96189.63</v>
      </c>
      <c r="C44" s="153">
        <v>148001.10999999999</v>
      </c>
      <c r="D44" s="153" t="s">
        <v>15</v>
      </c>
      <c r="E44" s="153">
        <v>71498.490000000005</v>
      </c>
      <c r="F44" s="5"/>
      <c r="G44" s="5"/>
      <c r="H44" s="5"/>
      <c r="I44" s="5"/>
      <c r="J44" s="5"/>
      <c r="K44" s="5"/>
      <c r="L44" s="150">
        <v>23640.93</v>
      </c>
      <c r="M44" s="151">
        <v>71498.490000000005</v>
      </c>
      <c r="N44" s="7"/>
      <c r="O44" s="7"/>
      <c r="P44" s="7"/>
      <c r="Q44" s="7"/>
      <c r="R44" s="7"/>
      <c r="S44" s="7"/>
      <c r="T44" s="7"/>
      <c r="U44" s="7"/>
      <c r="V44" s="26"/>
      <c r="W44" s="147">
        <f t="shared" si="5"/>
        <v>69229.141641220558</v>
      </c>
      <c r="X44" s="148">
        <f t="shared" si="1"/>
        <v>2269.3483587794472</v>
      </c>
      <c r="Y44" s="147">
        <f t="shared" si="2"/>
        <v>2269.3483587794472</v>
      </c>
      <c r="Z44" s="149">
        <f t="shared" si="3"/>
        <v>3.1739808194263218E-2</v>
      </c>
      <c r="AA44" s="147">
        <f t="shared" si="4"/>
        <v>5149941.9734949702</v>
      </c>
      <c r="AB44" s="36"/>
      <c r="AC44" s="93" t="s">
        <v>97</v>
      </c>
      <c r="AD44" s="93">
        <v>165349.20000000001</v>
      </c>
      <c r="AE44" s="10"/>
      <c r="AF44" s="94"/>
      <c r="AG44" s="95"/>
    </row>
    <row r="45" spans="1:33" ht="13.2" x14ac:dyDescent="0.25">
      <c r="A45" s="153">
        <v>15505.73</v>
      </c>
      <c r="B45" s="153">
        <v>127382.3</v>
      </c>
      <c r="C45" s="153">
        <v>35534.17</v>
      </c>
      <c r="D45" s="153" t="s">
        <v>11</v>
      </c>
      <c r="E45" s="153">
        <v>69758.98</v>
      </c>
      <c r="F45" s="5"/>
      <c r="G45" s="5"/>
      <c r="H45" s="5"/>
      <c r="I45" s="5"/>
      <c r="J45" s="5"/>
      <c r="K45" s="5"/>
      <c r="L45" s="150">
        <v>15505.73</v>
      </c>
      <c r="M45" s="151">
        <v>69758.98</v>
      </c>
      <c r="N45" s="7"/>
      <c r="O45" s="7"/>
      <c r="P45" s="7"/>
      <c r="Q45" s="7"/>
      <c r="R45" s="7"/>
      <c r="S45" s="7"/>
      <c r="T45" s="7"/>
      <c r="U45" s="7"/>
      <c r="V45" s="26"/>
      <c r="W45" s="147">
        <f t="shared" si="5"/>
        <v>62279.310480359156</v>
      </c>
      <c r="X45" s="148">
        <f t="shared" si="1"/>
        <v>7479.66951964084</v>
      </c>
      <c r="Y45" s="147">
        <f t="shared" si="2"/>
        <v>7479.66951964084</v>
      </c>
      <c r="Z45" s="149">
        <f t="shared" si="3"/>
        <v>0.10722160099876518</v>
      </c>
      <c r="AA45" s="147">
        <f t="shared" si="4"/>
        <v>55945456.123044237</v>
      </c>
      <c r="AB45" s="36"/>
      <c r="AC45" s="47"/>
      <c r="AD45" s="47"/>
      <c r="AE45" s="47"/>
      <c r="AF45" s="57"/>
      <c r="AG45" s="16"/>
    </row>
    <row r="46" spans="1:33" ht="19.8" x14ac:dyDescent="0.4">
      <c r="A46" s="153">
        <v>22177.74</v>
      </c>
      <c r="B46" s="153">
        <v>154806.14000000001</v>
      </c>
      <c r="C46" s="153">
        <v>28334.720000000001</v>
      </c>
      <c r="D46" s="153" t="s">
        <v>15</v>
      </c>
      <c r="E46" s="153">
        <v>65200.33</v>
      </c>
      <c r="F46" s="5"/>
      <c r="G46" s="5"/>
      <c r="H46" s="5"/>
      <c r="I46" s="5"/>
      <c r="J46" s="5"/>
      <c r="K46" s="5"/>
      <c r="L46" s="150">
        <v>22177.74</v>
      </c>
      <c r="M46" s="151">
        <v>65200.33</v>
      </c>
      <c r="N46" s="7"/>
      <c r="O46" s="7"/>
      <c r="P46" s="7"/>
      <c r="Q46" s="7"/>
      <c r="R46" s="7"/>
      <c r="S46" s="7"/>
      <c r="T46" s="7"/>
      <c r="U46" s="7"/>
      <c r="V46" s="26"/>
      <c r="W46" s="147">
        <f t="shared" si="5"/>
        <v>67979.151050176602</v>
      </c>
      <c r="X46" s="148">
        <f t="shared" si="1"/>
        <v>-2778.8210501766007</v>
      </c>
      <c r="Y46" s="147">
        <f t="shared" si="2"/>
        <v>2778.8210501766007</v>
      </c>
      <c r="Z46" s="149">
        <f t="shared" si="3"/>
        <v>4.2619739043906688E-2</v>
      </c>
      <c r="AA46" s="147">
        <f t="shared" si="4"/>
        <v>7721846.4289045855</v>
      </c>
      <c r="AB46" s="36"/>
      <c r="AC46" s="96" t="s">
        <v>75</v>
      </c>
      <c r="AD46" s="185">
        <v>250000</v>
      </c>
      <c r="AE46" s="97" t="s">
        <v>76</v>
      </c>
      <c r="AF46" s="57"/>
      <c r="AG46" s="16"/>
    </row>
    <row r="47" spans="1:33" ht="15.6" x14ac:dyDescent="0.3">
      <c r="A47" s="153">
        <v>1000.23</v>
      </c>
      <c r="B47" s="153">
        <v>124153.04</v>
      </c>
      <c r="C47" s="153">
        <v>1903.93</v>
      </c>
      <c r="D47" s="153" t="s">
        <v>11</v>
      </c>
      <c r="E47" s="153">
        <v>64926.080000000002</v>
      </c>
      <c r="F47" s="5"/>
      <c r="G47" s="5"/>
      <c r="H47" s="5"/>
      <c r="I47" s="5"/>
      <c r="J47" s="5"/>
      <c r="K47" s="5"/>
      <c r="L47" s="150">
        <v>1000.23</v>
      </c>
      <c r="M47" s="151">
        <v>64926.080000000002</v>
      </c>
      <c r="N47" s="7"/>
      <c r="O47" s="7"/>
      <c r="P47" s="7"/>
      <c r="Q47" s="7"/>
      <c r="R47" s="7"/>
      <c r="S47" s="7"/>
      <c r="T47" s="7"/>
      <c r="U47" s="7"/>
      <c r="V47" s="26"/>
      <c r="W47" s="147">
        <f t="shared" si="5"/>
        <v>49887.386999206261</v>
      </c>
      <c r="X47" s="148">
        <f t="shared" si="1"/>
        <v>15038.693000793741</v>
      </c>
      <c r="Y47" s="147">
        <f t="shared" si="2"/>
        <v>15038.693000793741</v>
      </c>
      <c r="Z47" s="149">
        <f t="shared" si="3"/>
        <v>0.23162792210454936</v>
      </c>
      <c r="AA47" s="147">
        <f t="shared" si="4"/>
        <v>226162287.17212266</v>
      </c>
      <c r="AB47" s="36"/>
      <c r="AC47" s="112" t="s">
        <v>35</v>
      </c>
      <c r="AD47" s="112">
        <v>0.85429137093880902</v>
      </c>
      <c r="AE47" s="112" t="s">
        <v>36</v>
      </c>
      <c r="AF47" s="111">
        <v>49032.899141252085</v>
      </c>
      <c r="AG47" s="98"/>
    </row>
    <row r="48" spans="1:33" ht="13.2" x14ac:dyDescent="0.25">
      <c r="A48" s="153">
        <v>1315.46</v>
      </c>
      <c r="B48" s="153">
        <v>115816.21</v>
      </c>
      <c r="C48" s="153">
        <v>297114.46000000002</v>
      </c>
      <c r="D48" s="153" t="s">
        <v>18</v>
      </c>
      <c r="E48" s="153">
        <v>49490.75</v>
      </c>
      <c r="F48" s="5"/>
      <c r="G48" s="5"/>
      <c r="H48" s="5"/>
      <c r="I48" s="5"/>
      <c r="J48" s="5"/>
      <c r="K48" s="5"/>
      <c r="L48" s="150">
        <v>1315.46</v>
      </c>
      <c r="M48" s="151">
        <v>49490.75</v>
      </c>
      <c r="N48" s="7"/>
      <c r="O48" s="7"/>
      <c r="P48" s="7"/>
      <c r="Q48" s="7"/>
      <c r="R48" s="7"/>
      <c r="S48" s="7"/>
      <c r="T48" s="7"/>
      <c r="U48" s="7"/>
      <c r="V48" s="26"/>
      <c r="W48" s="147">
        <f t="shared" si="5"/>
        <v>50156.685268067304</v>
      </c>
      <c r="X48" s="148">
        <f t="shared" si="1"/>
        <v>-665.9352680673037</v>
      </c>
      <c r="Y48" s="147">
        <f t="shared" si="2"/>
        <v>665.9352680673037</v>
      </c>
      <c r="Z48" s="149">
        <f t="shared" si="3"/>
        <v>1.3455752197477381E-2</v>
      </c>
      <c r="AA48" s="147">
        <f t="shared" si="4"/>
        <v>443469.78125587164</v>
      </c>
      <c r="AB48" s="36"/>
      <c r="AC48" s="47"/>
      <c r="AD48" s="16"/>
      <c r="AE48" s="47"/>
      <c r="AF48" s="57"/>
      <c r="AG48" s="16"/>
    </row>
    <row r="49" spans="1:33" ht="18" x14ac:dyDescent="0.4">
      <c r="A49" s="153">
        <v>0</v>
      </c>
      <c r="B49" s="153">
        <v>135426.92000000001</v>
      </c>
      <c r="C49" s="153">
        <v>0</v>
      </c>
      <c r="D49" s="153" t="s">
        <v>15</v>
      </c>
      <c r="E49" s="153">
        <v>42559.73</v>
      </c>
      <c r="F49" s="5"/>
      <c r="G49" s="5"/>
      <c r="H49" s="5"/>
      <c r="I49" s="5"/>
      <c r="J49" s="5"/>
      <c r="K49" s="5"/>
      <c r="L49" s="150">
        <v>0</v>
      </c>
      <c r="M49" s="151">
        <v>42559.73</v>
      </c>
      <c r="N49" s="7"/>
      <c r="O49" s="7"/>
      <c r="P49" s="7"/>
      <c r="Q49" s="7"/>
      <c r="R49" s="7"/>
      <c r="S49" s="7"/>
      <c r="T49" s="7"/>
      <c r="U49" s="7"/>
      <c r="V49" s="26"/>
      <c r="W49" s="147">
        <f t="shared" si="5"/>
        <v>49032.899141252135</v>
      </c>
      <c r="X49" s="148">
        <f t="shared" si="1"/>
        <v>-6473.1691412521322</v>
      </c>
      <c r="Y49" s="147">
        <f t="shared" si="2"/>
        <v>6473.1691412521322</v>
      </c>
      <c r="Z49" s="149">
        <f t="shared" si="3"/>
        <v>0.15209610449248931</v>
      </c>
      <c r="AA49" s="147">
        <f t="shared" si="4"/>
        <v>41901918.731258869</v>
      </c>
      <c r="AB49" s="36"/>
      <c r="AC49" s="113" t="s">
        <v>77</v>
      </c>
      <c r="AD49" s="36"/>
      <c r="AE49" s="36"/>
      <c r="AF49" s="56"/>
    </row>
    <row r="50" spans="1:33" ht="16.2" x14ac:dyDescent="0.3">
      <c r="A50" s="153">
        <v>542.04999999999995</v>
      </c>
      <c r="B50" s="153">
        <v>51743.15</v>
      </c>
      <c r="C50" s="153">
        <v>0</v>
      </c>
      <c r="D50" s="153" t="s">
        <v>11</v>
      </c>
      <c r="E50" s="153">
        <v>35673.410000000003</v>
      </c>
      <c r="F50" s="5"/>
      <c r="G50" s="5"/>
      <c r="H50" s="5"/>
      <c r="I50" s="5"/>
      <c r="J50" s="5"/>
      <c r="K50" s="5"/>
      <c r="L50" s="150">
        <v>542.04999999999995</v>
      </c>
      <c r="M50" s="151">
        <v>35673.410000000003</v>
      </c>
      <c r="N50" s="7"/>
      <c r="O50" s="7"/>
      <c r="P50" s="7"/>
      <c r="Q50" s="7"/>
      <c r="R50" s="7"/>
      <c r="S50" s="7"/>
      <c r="T50" s="7"/>
      <c r="U50" s="7"/>
      <c r="V50" s="26"/>
      <c r="W50" s="147">
        <f t="shared" si="5"/>
        <v>49495.967778869519</v>
      </c>
      <c r="X50" s="148">
        <f t="shared" si="1"/>
        <v>-13822.557778869515</v>
      </c>
      <c r="Y50" s="147">
        <f t="shared" si="2"/>
        <v>13822.557778869515</v>
      </c>
      <c r="Z50" s="149">
        <f t="shared" si="3"/>
        <v>0.38747509079926795</v>
      </c>
      <c r="AA50" s="147">
        <f t="shared" si="4"/>
        <v>191063103.55018616</v>
      </c>
      <c r="AB50" s="36"/>
      <c r="AC50" s="114" t="s">
        <v>78</v>
      </c>
      <c r="AD50" s="47"/>
      <c r="AE50" s="47"/>
      <c r="AF50" s="57"/>
      <c r="AG50" s="16"/>
    </row>
    <row r="51" spans="1:33" ht="15" x14ac:dyDescent="0.25">
      <c r="A51" s="153">
        <v>0</v>
      </c>
      <c r="B51" s="153">
        <v>116983.8</v>
      </c>
      <c r="C51" s="153">
        <v>45173.06</v>
      </c>
      <c r="D51" s="153" t="s">
        <v>15</v>
      </c>
      <c r="E51" s="153">
        <v>14681.4</v>
      </c>
      <c r="F51" s="5"/>
      <c r="G51" s="5"/>
      <c r="H51" s="5"/>
      <c r="I51" s="5"/>
      <c r="J51" s="5"/>
      <c r="K51" s="5"/>
      <c r="L51" s="150">
        <v>0</v>
      </c>
      <c r="M51" s="151">
        <v>14681.4</v>
      </c>
      <c r="N51" s="7"/>
      <c r="O51" s="7"/>
      <c r="P51" s="7"/>
      <c r="Q51" s="7"/>
      <c r="R51" s="7"/>
      <c r="S51" s="7"/>
      <c r="T51" s="7"/>
      <c r="U51" s="7"/>
      <c r="V51" s="26"/>
      <c r="W51" s="147">
        <f t="shared" si="5"/>
        <v>49032.899141252135</v>
      </c>
      <c r="X51" s="148">
        <f t="shared" si="1"/>
        <v>-34351.499141252134</v>
      </c>
      <c r="Y51" s="147">
        <f t="shared" si="2"/>
        <v>34351.499141252134</v>
      </c>
      <c r="Z51" s="149">
        <f t="shared" si="3"/>
        <v>2.3397972360437107</v>
      </c>
      <c r="AA51" s="147">
        <f t="shared" si="4"/>
        <v>1180025493.251446</v>
      </c>
      <c r="AB51" s="36"/>
      <c r="AC51" s="100" t="s">
        <v>79</v>
      </c>
      <c r="AD51" s="100" t="s">
        <v>80</v>
      </c>
      <c r="AE51" s="100" t="s">
        <v>98</v>
      </c>
      <c r="AF51" s="110">
        <v>49032.899141252085</v>
      </c>
      <c r="AG51" s="99"/>
    </row>
    <row r="52" spans="1:33" ht="17.399999999999999" x14ac:dyDescent="0.45">
      <c r="A52" s="12"/>
      <c r="B52" s="12"/>
      <c r="C52" s="12"/>
      <c r="D52" s="12"/>
      <c r="E52" s="12"/>
      <c r="F52" s="11"/>
      <c r="G52" s="11"/>
      <c r="H52" s="11"/>
      <c r="I52" s="11"/>
      <c r="J52" s="11"/>
      <c r="K52" s="11"/>
      <c r="L52" s="12"/>
      <c r="M52" s="12"/>
      <c r="N52" s="6"/>
      <c r="O52" s="7"/>
      <c r="P52" s="7"/>
      <c r="Q52" s="7"/>
      <c r="R52" s="7"/>
      <c r="S52" s="7"/>
      <c r="T52" s="7"/>
      <c r="U52" s="7"/>
      <c r="V52" s="26"/>
      <c r="W52" s="35"/>
      <c r="X52" s="115"/>
      <c r="Y52" s="26"/>
      <c r="Z52" s="101"/>
      <c r="AA52" s="143" t="s">
        <v>103</v>
      </c>
      <c r="AB52" s="102">
        <v>49032.899140000001</v>
      </c>
      <c r="AC52" s="140">
        <f>250000-AF51</f>
        <v>200967.1008587479</v>
      </c>
      <c r="AD52" s="140" t="s">
        <v>99</v>
      </c>
      <c r="AE52" s="140" t="s">
        <v>80</v>
      </c>
      <c r="AF52" s="108" t="str">
        <f ca="1">_xlfn.FORMULATEXT(AC52)</f>
        <v>=250000-AF51</v>
      </c>
      <c r="AG52" s="109"/>
    </row>
    <row r="53" spans="1:33" ht="17.399999999999999" x14ac:dyDescent="0.45">
      <c r="A53" s="12"/>
      <c r="B53" s="12"/>
      <c r="C53" s="12"/>
      <c r="D53" s="12"/>
      <c r="E53" s="12"/>
      <c r="F53" s="11"/>
      <c r="G53" s="11"/>
      <c r="H53" s="11"/>
      <c r="I53" s="11"/>
      <c r="J53" s="11"/>
      <c r="K53" s="11"/>
      <c r="L53" s="12"/>
      <c r="M53" s="12"/>
      <c r="N53" s="6"/>
      <c r="O53" s="7"/>
      <c r="P53" s="7"/>
      <c r="Q53" s="7"/>
      <c r="R53" s="7"/>
      <c r="S53" s="7"/>
      <c r="T53" s="7"/>
      <c r="U53" s="7"/>
      <c r="V53" s="26"/>
      <c r="W53" s="35"/>
      <c r="X53" s="115"/>
      <c r="Y53" s="26"/>
      <c r="Z53" s="101"/>
      <c r="AA53" s="102" t="s">
        <v>81</v>
      </c>
      <c r="AB53" s="102">
        <v>0.85429137093880902</v>
      </c>
      <c r="AC53" s="140">
        <f>AC52/AD47</f>
        <v>235244.21256637358</v>
      </c>
      <c r="AD53" s="140" t="s">
        <v>100</v>
      </c>
      <c r="AE53" s="140"/>
      <c r="AF53" s="108" t="str">
        <f ca="1">_xlfn.FORMULATEXT(AC53)</f>
        <v>=AC52/AD47</v>
      </c>
      <c r="AG53" s="109"/>
    </row>
    <row r="54" spans="1:33" ht="15.6" x14ac:dyDescent="0.3">
      <c r="A54" s="12"/>
      <c r="B54" s="12"/>
      <c r="C54" s="12"/>
      <c r="D54" s="12"/>
      <c r="E54" s="12"/>
      <c r="F54" s="11"/>
      <c r="G54" s="11"/>
      <c r="H54" s="11"/>
      <c r="I54" s="11"/>
      <c r="J54" s="11"/>
      <c r="K54" s="11"/>
      <c r="L54" s="12"/>
      <c r="M54" s="12"/>
      <c r="N54" s="6"/>
      <c r="O54" s="7"/>
      <c r="P54" s="7"/>
      <c r="Q54" s="7"/>
      <c r="R54" s="7"/>
      <c r="S54" s="7"/>
      <c r="T54" s="7"/>
      <c r="U54" s="7"/>
      <c r="V54" s="26"/>
      <c r="W54" s="35"/>
      <c r="X54" s="134"/>
      <c r="Y54" s="26"/>
      <c r="Z54" s="37"/>
      <c r="AA54" s="37"/>
      <c r="AB54" s="103"/>
      <c r="AC54" s="104" t="s">
        <v>101</v>
      </c>
      <c r="AD54" s="105" t="s">
        <v>82</v>
      </c>
      <c r="AE54" s="123"/>
      <c r="AF54" s="124"/>
      <c r="AG54" s="125"/>
    </row>
    <row r="55" spans="1:33" ht="15.6" x14ac:dyDescent="0.3">
      <c r="A55" s="12"/>
      <c r="B55" s="302"/>
      <c r="C55" s="12"/>
      <c r="D55" s="12"/>
      <c r="E55" s="12"/>
      <c r="F55" s="11"/>
      <c r="G55" s="11"/>
      <c r="H55" s="11"/>
      <c r="I55" s="11"/>
      <c r="J55" s="11"/>
      <c r="K55" s="11"/>
      <c r="L55" s="12"/>
      <c r="M55" s="12"/>
      <c r="N55" s="6"/>
      <c r="O55" s="7"/>
      <c r="P55" s="7"/>
      <c r="Q55" s="7"/>
      <c r="R55" s="7"/>
      <c r="S55" s="7"/>
      <c r="T55" s="7"/>
      <c r="U55" s="7"/>
      <c r="V55" s="26"/>
      <c r="W55" s="35"/>
      <c r="X55" s="115"/>
      <c r="Y55" s="118"/>
      <c r="Z55" s="37"/>
      <c r="AA55" s="37"/>
      <c r="AB55" s="103"/>
      <c r="AC55" s="106"/>
      <c r="AD55" s="107" t="s">
        <v>83</v>
      </c>
      <c r="AE55" s="123"/>
      <c r="AF55" s="124"/>
      <c r="AG55" s="125"/>
    </row>
    <row r="56" spans="1:33" ht="19.2" x14ac:dyDescent="0.45">
      <c r="A56" s="12"/>
      <c r="B56" s="12"/>
      <c r="C56" s="12"/>
      <c r="D56" s="12"/>
      <c r="E56" s="12"/>
      <c r="F56" s="11"/>
      <c r="G56" s="11"/>
      <c r="H56" s="11"/>
      <c r="I56" s="11"/>
      <c r="J56" s="11"/>
      <c r="K56" s="11"/>
      <c r="L56" s="12"/>
      <c r="M56" s="12"/>
      <c r="N56" s="6"/>
      <c r="O56" s="7"/>
      <c r="P56" s="7"/>
      <c r="Q56" s="7"/>
      <c r="R56" s="7"/>
      <c r="S56" s="7"/>
      <c r="T56" s="7"/>
      <c r="U56" s="7"/>
      <c r="V56" s="26"/>
      <c r="W56" s="35"/>
      <c r="X56" s="115"/>
      <c r="Y56" s="26"/>
      <c r="Z56" s="37"/>
      <c r="AA56" s="37"/>
      <c r="AB56" s="103"/>
      <c r="AC56" s="106"/>
      <c r="AD56" s="105" t="s">
        <v>84</v>
      </c>
      <c r="AE56" s="292">
        <v>235244.21256637399</v>
      </c>
      <c r="AF56" s="121"/>
      <c r="AG56" s="122"/>
    </row>
    <row r="57" spans="1:33" ht="13.2" x14ac:dyDescent="0.25">
      <c r="A57" s="12"/>
      <c r="B57" s="12"/>
      <c r="C57" s="12"/>
      <c r="D57" s="12"/>
      <c r="E57" s="12"/>
      <c r="F57" s="11"/>
      <c r="G57" s="11"/>
      <c r="H57" s="11"/>
      <c r="I57" s="11"/>
      <c r="J57" s="11"/>
      <c r="K57" s="11"/>
      <c r="L57" s="12"/>
      <c r="M57" s="12"/>
      <c r="N57" s="6"/>
      <c r="O57" s="7"/>
      <c r="P57" s="7"/>
      <c r="Q57" s="7"/>
      <c r="R57" s="7"/>
      <c r="S57" s="7"/>
      <c r="T57" s="7"/>
      <c r="U57" s="7"/>
      <c r="V57" s="26"/>
      <c r="W57" s="26"/>
      <c r="X57" s="115"/>
      <c r="Y57" s="26"/>
      <c r="Z57" s="13"/>
      <c r="AA57" s="11"/>
      <c r="AB57" s="11"/>
      <c r="AC57" s="11"/>
      <c r="AD57" s="200"/>
      <c r="AE57" s="26"/>
    </row>
    <row r="58" spans="1:33" ht="15" x14ac:dyDescent="0.35">
      <c r="A58" s="12"/>
      <c r="B58" s="12"/>
      <c r="C58" s="12"/>
      <c r="D58" s="12"/>
      <c r="E58" s="12"/>
      <c r="F58" s="11"/>
      <c r="G58" s="11"/>
      <c r="H58" s="11"/>
      <c r="I58" s="11"/>
      <c r="J58" s="11"/>
      <c r="K58" s="11"/>
      <c r="L58" s="12"/>
      <c r="M58" s="12"/>
      <c r="N58" s="6"/>
      <c r="O58" s="7"/>
      <c r="P58" s="7"/>
      <c r="Q58" s="7"/>
      <c r="R58" s="7"/>
      <c r="S58" s="7"/>
      <c r="T58" s="7"/>
      <c r="U58" s="7"/>
      <c r="V58" s="26"/>
      <c r="W58" s="26"/>
      <c r="X58" s="115"/>
      <c r="Y58" s="26"/>
      <c r="Z58" s="26"/>
      <c r="AA58" s="26"/>
      <c r="AB58" s="196" t="s">
        <v>118</v>
      </c>
      <c r="AC58" s="196">
        <f>AVERAGE($A$2:$A$51)</f>
        <v>73721.61559999999</v>
      </c>
      <c r="AD58" s="198" t="str">
        <f ca="1">_xlfn.FORMULATEXT(AC58)</f>
        <v>=AVERAGE($A$2:$A$51)</v>
      </c>
      <c r="AE58" s="26"/>
    </row>
    <row r="59" spans="1:33" ht="15" x14ac:dyDescent="0.35">
      <c r="A59" s="12"/>
      <c r="B59" s="12"/>
      <c r="C59" s="12"/>
      <c r="D59" s="12"/>
      <c r="E59" s="12"/>
      <c r="F59" s="11"/>
      <c r="G59" s="11"/>
      <c r="H59" s="11"/>
      <c r="I59" s="11"/>
      <c r="J59" s="11"/>
      <c r="K59" s="11"/>
      <c r="L59" s="12"/>
      <c r="M59" s="12"/>
      <c r="N59" s="6"/>
      <c r="O59" s="7"/>
      <c r="P59" s="7"/>
      <c r="Q59" s="7"/>
      <c r="R59" s="7"/>
      <c r="S59" s="7"/>
      <c r="T59" s="7"/>
      <c r="U59" s="7"/>
      <c r="V59" s="26"/>
      <c r="W59" s="26"/>
      <c r="X59" s="115"/>
      <c r="Y59" s="26"/>
      <c r="Z59" s="26"/>
      <c r="AA59" s="26"/>
      <c r="AB59" s="196" t="s">
        <v>223</v>
      </c>
      <c r="AC59" s="196">
        <f>DEVSQ($A$2:$A$51)</f>
        <v>103243840358.20966</v>
      </c>
      <c r="AD59" s="198" t="str">
        <f t="shared" ref="AD59:AD70" ca="1" si="6">_xlfn.FORMULATEXT(AC59)</f>
        <v>=DEVSQ($A$2:$A$51)</v>
      </c>
      <c r="AE59" s="26"/>
    </row>
    <row r="60" spans="1:33" ht="15" x14ac:dyDescent="0.35">
      <c r="A60" s="12"/>
      <c r="B60" s="12"/>
      <c r="C60" s="12"/>
      <c r="D60" s="12"/>
      <c r="E60" s="12"/>
      <c r="F60" s="11"/>
      <c r="G60" s="11"/>
      <c r="H60" s="11"/>
      <c r="I60" s="11"/>
      <c r="J60" s="11"/>
      <c r="K60" s="11"/>
      <c r="L60" s="12"/>
      <c r="M60" s="12"/>
      <c r="N60" s="6"/>
      <c r="O60" s="7"/>
      <c r="P60" s="7"/>
      <c r="Q60" s="7"/>
      <c r="R60" s="7"/>
      <c r="S60" s="7"/>
      <c r="T60" s="7"/>
      <c r="U60" s="7"/>
      <c r="V60" s="26"/>
      <c r="W60" s="26"/>
      <c r="X60" s="115"/>
      <c r="Y60" s="26"/>
      <c r="Z60" s="26"/>
      <c r="AA60" s="26"/>
      <c r="AB60" s="334" t="s">
        <v>236</v>
      </c>
      <c r="AC60" s="333">
        <f>(AD46 * AD47) +AF47</f>
        <v>262605.74187595432</v>
      </c>
      <c r="AD60" s="198" t="str">
        <f t="shared" ca="1" si="6"/>
        <v>=(AD46 * AD47) +AF47</v>
      </c>
      <c r="AE60" s="26"/>
    </row>
    <row r="61" spans="1:33" ht="15" x14ac:dyDescent="0.35">
      <c r="A61" s="12"/>
      <c r="B61" s="12"/>
      <c r="C61" s="12"/>
      <c r="D61" s="12"/>
      <c r="E61" s="12"/>
      <c r="F61" s="11"/>
      <c r="G61" s="11"/>
      <c r="H61" s="11"/>
      <c r="I61" s="11"/>
      <c r="J61" s="11"/>
      <c r="K61" s="11"/>
      <c r="L61" s="12"/>
      <c r="M61" s="12"/>
      <c r="N61" s="6"/>
      <c r="O61" s="7"/>
      <c r="P61" s="7"/>
      <c r="Q61" s="7"/>
      <c r="R61" s="7"/>
      <c r="S61" s="7"/>
      <c r="T61" s="7"/>
      <c r="U61" s="7"/>
      <c r="V61" s="26"/>
      <c r="W61" s="26"/>
      <c r="X61" s="115"/>
      <c r="Y61" s="26"/>
      <c r="Z61" s="26"/>
      <c r="AA61" s="26"/>
      <c r="AB61" s="196" t="s">
        <v>119</v>
      </c>
      <c r="AC61" s="196">
        <f>50-2</f>
        <v>48</v>
      </c>
      <c r="AD61" s="198" t="str">
        <f t="shared" ca="1" si="6"/>
        <v>=50-2</v>
      </c>
      <c r="AE61" s="26"/>
    </row>
    <row r="62" spans="1:33" ht="15" x14ac:dyDescent="0.35">
      <c r="A62" s="12"/>
      <c r="B62" s="12"/>
      <c r="C62" s="12"/>
      <c r="D62" s="12"/>
      <c r="E62" s="12"/>
      <c r="F62" s="11"/>
      <c r="G62" s="11"/>
      <c r="H62" s="11"/>
      <c r="I62" s="11"/>
      <c r="J62" s="11"/>
      <c r="K62" s="11"/>
      <c r="L62" s="12"/>
      <c r="M62" s="12"/>
      <c r="N62" s="6"/>
      <c r="O62" s="7"/>
      <c r="P62" s="7"/>
      <c r="Q62" s="7"/>
      <c r="R62" s="7"/>
      <c r="S62" s="7"/>
      <c r="T62" s="7"/>
      <c r="U62" s="7"/>
      <c r="V62" s="26"/>
      <c r="W62" s="26"/>
      <c r="X62" s="115"/>
      <c r="Y62" s="26"/>
      <c r="Z62" s="26"/>
      <c r="AA62" s="26"/>
      <c r="AB62" s="196" t="s">
        <v>120</v>
      </c>
      <c r="AC62" s="196">
        <f>SQRT(1/50+((AC60-AC58)^2)/AC59)</f>
        <v>0.6046177565100388</v>
      </c>
      <c r="AD62" s="198" t="str">
        <f t="shared" ca="1" si="6"/>
        <v>=SQRT(1/50+((AC60-AC58)^2)/AC59)</v>
      </c>
      <c r="AE62" s="26"/>
    </row>
    <row r="63" spans="1:33" ht="15" x14ac:dyDescent="0.35">
      <c r="A63" s="12"/>
      <c r="B63" s="12"/>
      <c r="C63" s="12"/>
      <c r="D63" s="12"/>
      <c r="E63" s="12"/>
      <c r="F63" s="11"/>
      <c r="G63" s="11"/>
      <c r="H63" s="11"/>
      <c r="I63" s="11"/>
      <c r="J63" s="11"/>
      <c r="K63" s="11"/>
      <c r="L63" s="12"/>
      <c r="M63" s="12"/>
      <c r="N63" s="6"/>
      <c r="O63" s="7"/>
      <c r="P63" s="7"/>
      <c r="Q63" s="7"/>
      <c r="R63" s="7"/>
      <c r="S63" s="7"/>
      <c r="T63" s="7"/>
      <c r="U63" s="7"/>
      <c r="V63" s="26"/>
      <c r="W63" s="26"/>
      <c r="X63" s="115"/>
      <c r="Y63" s="26"/>
      <c r="Z63" s="26"/>
      <c r="AA63" s="26"/>
      <c r="AB63" s="196" t="s">
        <v>121</v>
      </c>
      <c r="AC63" s="196">
        <f>SUM($AA$2:$AA$53)</f>
        <v>4256046566.3534527</v>
      </c>
      <c r="AD63" s="198" t="str">
        <f t="shared" ca="1" si="6"/>
        <v>=SUM($AA$2:$AA$53)</v>
      </c>
      <c r="AE63" s="26"/>
    </row>
    <row r="64" spans="1:33" ht="15" x14ac:dyDescent="0.35">
      <c r="A64" s="12"/>
      <c r="B64" s="12"/>
      <c r="C64" s="12"/>
      <c r="D64" s="12"/>
      <c r="E64" s="12"/>
      <c r="F64" s="11"/>
      <c r="G64" s="11"/>
      <c r="H64" s="11"/>
      <c r="I64" s="11"/>
      <c r="J64" s="11"/>
      <c r="K64" s="11"/>
      <c r="L64" s="12"/>
      <c r="M64" s="12"/>
      <c r="N64" s="6"/>
      <c r="O64" s="7"/>
      <c r="P64" s="7"/>
      <c r="Q64" s="7"/>
      <c r="R64" s="7"/>
      <c r="S64" s="7"/>
      <c r="T64" s="7"/>
      <c r="U64" s="7"/>
      <c r="V64" s="26"/>
      <c r="W64" s="26"/>
      <c r="X64" s="115"/>
      <c r="Y64" s="26"/>
      <c r="Z64" s="26"/>
      <c r="AA64" s="26"/>
      <c r="AB64" s="196" t="s">
        <v>122</v>
      </c>
      <c r="AC64" s="196">
        <f>SQRT(AC63 / AC61)</f>
        <v>9416.3494412128875</v>
      </c>
      <c r="AD64" s="198" t="str">
        <f t="shared" ca="1" si="6"/>
        <v>=SQRT(AC63 / AC61)</v>
      </c>
      <c r="AE64" s="26"/>
    </row>
    <row r="65" spans="1:33" ht="15" x14ac:dyDescent="0.35">
      <c r="A65" s="12"/>
      <c r="B65" s="12"/>
      <c r="C65" s="12"/>
      <c r="D65" s="12"/>
      <c r="E65" s="12"/>
      <c r="F65" s="11"/>
      <c r="G65" s="11"/>
      <c r="H65" s="11"/>
      <c r="I65" s="11"/>
      <c r="J65" s="11"/>
      <c r="K65" s="11"/>
      <c r="L65" s="12"/>
      <c r="M65" s="12"/>
      <c r="N65" s="6"/>
      <c r="O65" s="7"/>
      <c r="P65" s="7"/>
      <c r="Q65" s="7"/>
      <c r="R65" s="7"/>
      <c r="S65" s="7"/>
      <c r="T65" s="7"/>
      <c r="U65" s="7"/>
      <c r="V65" s="26"/>
      <c r="W65" s="26"/>
      <c r="X65" s="115"/>
      <c r="Y65" s="26"/>
      <c r="Z65" s="26"/>
      <c r="AA65" s="26"/>
      <c r="AB65" s="196" t="s">
        <v>123</v>
      </c>
      <c r="AC65" s="196">
        <f>SQRT(SUMX2MY2($M$2:$M$51,$W$2:$W$51) / (50-2))</f>
        <v>9416.3494412125256</v>
      </c>
      <c r="AD65" s="198" t="str">
        <f t="shared" ca="1" si="6"/>
        <v>=SQRT(SUMX2MY2($M$2:$M$51;$W$2:$W$51) / (50-2))</v>
      </c>
      <c r="AE65" s="26"/>
    </row>
    <row r="66" spans="1:33" ht="15" x14ac:dyDescent="0.35">
      <c r="A66" s="12"/>
      <c r="B66" s="12"/>
      <c r="C66" s="12"/>
      <c r="D66" s="12"/>
      <c r="E66" s="12"/>
      <c r="F66" s="11"/>
      <c r="G66" s="11"/>
      <c r="H66" s="11"/>
      <c r="I66" s="11"/>
      <c r="J66" s="11"/>
      <c r="K66" s="11"/>
      <c r="L66" s="12"/>
      <c r="M66" s="12"/>
      <c r="N66" s="6"/>
      <c r="O66" s="7"/>
      <c r="P66" s="7"/>
      <c r="Q66" s="7"/>
      <c r="R66" s="7"/>
      <c r="S66" s="7"/>
      <c r="T66" s="7"/>
      <c r="U66" s="7"/>
      <c r="V66" s="26"/>
      <c r="W66" s="116"/>
      <c r="X66" s="117"/>
      <c r="Y66" s="118"/>
      <c r="Z66" s="118"/>
      <c r="AA66" s="26"/>
      <c r="AB66" s="196" t="s">
        <v>124</v>
      </c>
      <c r="AC66" s="197">
        <f>AC62 * AC64</f>
        <v>5693.2920736606939</v>
      </c>
      <c r="AD66" s="198" t="str">
        <f t="shared" ca="1" si="6"/>
        <v>=AC62 * AC64</v>
      </c>
      <c r="AE66" s="26"/>
    </row>
    <row r="67" spans="1:33" ht="15" x14ac:dyDescent="0.35">
      <c r="A67" s="12"/>
      <c r="B67" s="12"/>
      <c r="C67" s="12"/>
      <c r="D67" s="12"/>
      <c r="E67" s="12"/>
      <c r="F67" s="11"/>
      <c r="G67" s="11"/>
      <c r="H67" s="11"/>
      <c r="I67" s="11"/>
      <c r="J67" s="11"/>
      <c r="K67" s="11"/>
      <c r="L67" s="12"/>
      <c r="M67" s="12"/>
      <c r="N67" s="6"/>
      <c r="O67" s="7"/>
      <c r="P67" s="7"/>
      <c r="Q67" s="7"/>
      <c r="R67" s="7"/>
      <c r="S67" s="7"/>
      <c r="T67" s="7"/>
      <c r="U67" s="7"/>
      <c r="V67" s="26"/>
      <c r="W67" s="118"/>
      <c r="X67" s="117"/>
      <c r="Y67" s="118"/>
      <c r="Z67" s="119"/>
      <c r="AA67" s="26"/>
      <c r="AB67" s="196" t="s">
        <v>125</v>
      </c>
      <c r="AC67" s="196">
        <f>_xlfn.T.INV.2T(0.05,48)</f>
        <v>2.0106347576242314</v>
      </c>
      <c r="AD67" s="198" t="str">
        <f t="shared" ca="1" si="6"/>
        <v>=T.INV.2T(0.05;48)</v>
      </c>
      <c r="AE67" s="26"/>
    </row>
    <row r="68" spans="1:33" ht="15" x14ac:dyDescent="0.35">
      <c r="A68" s="12"/>
      <c r="B68" s="12"/>
      <c r="C68" s="12"/>
      <c r="D68" s="12"/>
      <c r="E68" s="12"/>
      <c r="F68" s="11"/>
      <c r="G68" s="11"/>
      <c r="H68" s="11"/>
      <c r="I68" s="11"/>
      <c r="J68" s="11"/>
      <c r="K68" s="11"/>
      <c r="L68" s="12"/>
      <c r="M68" s="12"/>
      <c r="N68" s="6"/>
      <c r="O68" s="7"/>
      <c r="P68" s="7"/>
      <c r="Q68" s="7"/>
      <c r="R68" s="7"/>
      <c r="S68" s="7"/>
      <c r="T68" s="7"/>
      <c r="U68" s="7"/>
      <c r="V68" s="26"/>
      <c r="W68" s="118"/>
      <c r="X68" s="117"/>
      <c r="Y68" s="118"/>
      <c r="Z68" s="118"/>
      <c r="AA68" s="26"/>
      <c r="AB68" s="196" t="s">
        <v>126</v>
      </c>
      <c r="AC68" s="196">
        <f>AC66 *AC67</f>
        <v>11447.130928608727</v>
      </c>
      <c r="AD68" s="198" t="str">
        <f t="shared" ca="1" si="6"/>
        <v>=AC66 *AC67</v>
      </c>
      <c r="AE68" s="26"/>
    </row>
    <row r="69" spans="1:33" ht="15" x14ac:dyDescent="0.35">
      <c r="A69" s="12"/>
      <c r="B69" s="186"/>
      <c r="C69" s="186"/>
      <c r="D69" s="12"/>
      <c r="E69" s="12"/>
      <c r="F69" s="11"/>
      <c r="G69" s="11"/>
      <c r="H69" s="11"/>
      <c r="I69" s="11"/>
      <c r="J69" s="11"/>
      <c r="K69" s="11"/>
      <c r="L69" s="12"/>
      <c r="M69" s="12"/>
      <c r="N69" s="6"/>
      <c r="O69" s="7"/>
      <c r="P69" s="7"/>
      <c r="Q69" s="7"/>
      <c r="R69" s="7"/>
      <c r="S69" s="7"/>
      <c r="T69" s="7"/>
      <c r="U69" s="7"/>
      <c r="V69" s="26"/>
      <c r="W69" s="118"/>
      <c r="X69" s="117"/>
      <c r="Y69" s="118"/>
      <c r="Z69" s="118"/>
      <c r="AA69" s="26"/>
      <c r="AB69" s="334" t="s">
        <v>127</v>
      </c>
      <c r="AC69" s="333">
        <f>AC60-AC68</f>
        <v>251158.61094734559</v>
      </c>
      <c r="AD69" s="198" t="str">
        <f t="shared" ca="1" si="6"/>
        <v>=AC60-AC68</v>
      </c>
      <c r="AE69" s="26"/>
    </row>
    <row r="70" spans="1:33" ht="15" x14ac:dyDescent="0.35">
      <c r="A70" s="12"/>
      <c r="B70" s="187"/>
      <c r="C70" s="187"/>
      <c r="D70" s="12"/>
      <c r="E70" s="12"/>
      <c r="F70" s="11"/>
      <c r="G70" s="11"/>
      <c r="H70" s="11"/>
      <c r="I70" s="11"/>
      <c r="J70" s="11"/>
      <c r="K70" s="11"/>
      <c r="L70" s="12"/>
      <c r="M70" s="12"/>
      <c r="N70" s="6"/>
      <c r="O70" s="7"/>
      <c r="P70" s="7"/>
      <c r="Q70" s="7"/>
      <c r="R70" s="7"/>
      <c r="S70" s="7"/>
      <c r="T70" s="7"/>
      <c r="U70" s="7"/>
      <c r="V70" s="26"/>
      <c r="W70" s="118"/>
      <c r="X70" s="117"/>
      <c r="Y70" s="118"/>
      <c r="Z70" s="118"/>
      <c r="AA70" s="26"/>
      <c r="AB70" s="334" t="s">
        <v>128</v>
      </c>
      <c r="AC70" s="333">
        <f>AC60 + AC68</f>
        <v>274052.87280456303</v>
      </c>
      <c r="AD70" s="198" t="str">
        <f t="shared" ca="1" si="6"/>
        <v>=AC60 + AC68</v>
      </c>
      <c r="AE70" s="26"/>
    </row>
    <row r="71" spans="1:33" ht="15.6" x14ac:dyDescent="0.3">
      <c r="A71" s="12"/>
      <c r="B71" s="16"/>
      <c r="C71" s="16"/>
      <c r="D71" s="12"/>
      <c r="E71" s="12"/>
      <c r="F71" s="11"/>
      <c r="G71" s="11"/>
      <c r="H71" s="11"/>
      <c r="I71" s="11"/>
      <c r="J71" s="11"/>
      <c r="K71" s="11"/>
      <c r="L71" s="12"/>
      <c r="M71" s="12"/>
      <c r="N71" s="6"/>
      <c r="O71" s="7"/>
      <c r="P71" s="7"/>
      <c r="Q71" s="7"/>
      <c r="R71" s="7"/>
      <c r="S71" s="7"/>
      <c r="T71" s="7"/>
      <c r="U71" s="7"/>
      <c r="V71" s="11"/>
      <c r="W71" s="311"/>
      <c r="X71" s="312"/>
      <c r="Y71" s="312"/>
      <c r="Z71" s="201"/>
      <c r="AA71" s="11"/>
      <c r="AB71" s="202">
        <v>250000</v>
      </c>
      <c r="AC71" s="11"/>
      <c r="AD71" s="199" t="s">
        <v>117</v>
      </c>
      <c r="AE71" s="26"/>
    </row>
    <row r="72" spans="1:33" ht="13.2" x14ac:dyDescent="0.25">
      <c r="A72" s="12"/>
      <c r="B72" s="16"/>
      <c r="C72" s="16"/>
      <c r="D72" s="12"/>
      <c r="E72" s="12"/>
      <c r="F72" s="11"/>
      <c r="G72" s="11"/>
      <c r="H72" s="11"/>
      <c r="I72" s="11"/>
      <c r="J72" s="11"/>
      <c r="K72" s="11"/>
      <c r="L72" s="12"/>
      <c r="M72" s="12"/>
      <c r="N72" s="6"/>
      <c r="O72" s="7"/>
      <c r="P72" s="7"/>
      <c r="Q72" s="7"/>
      <c r="R72" s="7"/>
      <c r="S72" s="7"/>
      <c r="T72" s="7"/>
      <c r="U72" s="7"/>
      <c r="V72" s="26"/>
      <c r="W72" s="26"/>
      <c r="X72" s="115"/>
      <c r="Y72" s="26"/>
      <c r="Z72" s="26"/>
      <c r="AA72" s="26"/>
      <c r="AB72" s="26"/>
      <c r="AC72" s="26"/>
      <c r="AD72" s="26"/>
      <c r="AE72" s="26"/>
    </row>
    <row r="73" spans="1:33" ht="13.2" x14ac:dyDescent="0.25">
      <c r="A73" s="12"/>
      <c r="B73" s="16"/>
      <c r="C73" s="16"/>
      <c r="D73" s="12"/>
      <c r="E73" s="12"/>
      <c r="F73" s="11"/>
      <c r="G73" s="11"/>
      <c r="H73" s="11"/>
      <c r="I73" s="11"/>
      <c r="J73" s="11"/>
      <c r="K73" s="11"/>
      <c r="L73" s="12"/>
      <c r="M73" s="12"/>
      <c r="N73" s="6"/>
      <c r="O73" s="7"/>
      <c r="P73" s="7"/>
      <c r="Q73" s="7"/>
      <c r="R73" s="7"/>
      <c r="S73" s="7"/>
      <c r="T73" s="7"/>
      <c r="U73" s="7"/>
      <c r="V73" s="26"/>
      <c r="W73" s="26"/>
      <c r="X73" s="115"/>
      <c r="Y73" s="26"/>
      <c r="Z73" s="26"/>
      <c r="AA73" s="26"/>
      <c r="AB73" s="26"/>
      <c r="AC73" s="26"/>
      <c r="AD73" s="26"/>
      <c r="AE73" s="26"/>
    </row>
    <row r="74" spans="1:33" ht="13.8" x14ac:dyDescent="0.25">
      <c r="A74" s="12"/>
      <c r="B74" s="16"/>
      <c r="C74" s="16"/>
      <c r="D74" s="12"/>
      <c r="E74" s="12"/>
      <c r="F74" s="11"/>
      <c r="G74" s="11"/>
      <c r="H74" s="11"/>
      <c r="I74" s="11"/>
      <c r="J74" s="11"/>
      <c r="K74" s="11"/>
      <c r="L74" s="12"/>
      <c r="M74" s="12"/>
      <c r="N74" s="6"/>
      <c r="O74" s="7"/>
      <c r="P74" s="7"/>
      <c r="Q74" s="7"/>
      <c r="R74" s="7"/>
      <c r="S74" s="7"/>
      <c r="T74" s="7"/>
      <c r="U74" s="7"/>
      <c r="V74" s="26"/>
      <c r="X74" s="115"/>
      <c r="Y74" s="26"/>
      <c r="Z74" s="304"/>
      <c r="AA74" s="304"/>
      <c r="AB74" s="304"/>
      <c r="AC74" s="304"/>
      <c r="AD74" s="304"/>
      <c r="AE74" s="11"/>
      <c r="AF74" s="13"/>
      <c r="AG74" s="16"/>
    </row>
    <row r="75" spans="1:33" ht="13.8" x14ac:dyDescent="0.25">
      <c r="A75" s="12"/>
      <c r="B75" s="16"/>
      <c r="C75" s="16"/>
      <c r="D75" s="12"/>
      <c r="E75" s="12"/>
      <c r="F75" s="11"/>
      <c r="G75" s="11"/>
      <c r="H75" s="11"/>
      <c r="I75" s="11"/>
      <c r="J75" s="11"/>
      <c r="K75" s="11"/>
      <c r="L75" s="12"/>
      <c r="M75" s="12"/>
      <c r="N75" s="6"/>
      <c r="O75" s="7"/>
      <c r="P75" s="7"/>
      <c r="Q75" s="7"/>
      <c r="R75" s="7"/>
      <c r="S75" s="7"/>
      <c r="T75" s="7"/>
      <c r="U75" s="7"/>
      <c r="V75" s="26"/>
      <c r="W75" s="26"/>
      <c r="X75" s="115"/>
      <c r="Y75" s="26"/>
      <c r="Z75" s="304"/>
      <c r="AA75" s="304"/>
      <c r="AB75" s="304"/>
      <c r="AC75" s="304"/>
      <c r="AD75" s="304"/>
      <c r="AE75" s="11"/>
      <c r="AF75" s="13"/>
      <c r="AG75" s="16"/>
    </row>
    <row r="76" spans="1:33" ht="13.8" x14ac:dyDescent="0.25">
      <c r="A76" s="12"/>
      <c r="B76" s="16"/>
      <c r="C76" s="16"/>
      <c r="D76" s="12"/>
      <c r="E76" s="12"/>
      <c r="F76" s="11"/>
      <c r="G76" s="11"/>
      <c r="H76" s="11"/>
      <c r="I76" s="11"/>
      <c r="J76" s="11"/>
      <c r="K76" s="11"/>
      <c r="L76" s="12"/>
      <c r="M76" s="12"/>
      <c r="N76" s="6"/>
      <c r="O76" s="7"/>
      <c r="P76" s="7"/>
      <c r="Q76" s="7"/>
      <c r="R76" s="7"/>
      <c r="S76" s="7"/>
      <c r="T76" s="7"/>
      <c r="U76" s="7"/>
      <c r="V76" s="26"/>
      <c r="W76" s="26"/>
      <c r="X76" s="115"/>
      <c r="Y76" s="26"/>
      <c r="Z76" s="304"/>
      <c r="AA76" s="304"/>
      <c r="AB76" s="305" t="s">
        <v>222</v>
      </c>
      <c r="AC76" s="304"/>
      <c r="AD76" s="304"/>
      <c r="AE76" s="11"/>
      <c r="AF76" s="13"/>
      <c r="AG76" s="16"/>
    </row>
    <row r="77" spans="1:33" ht="14.4" x14ac:dyDescent="0.3">
      <c r="A77" s="12"/>
      <c r="B77" s="16"/>
      <c r="C77" s="16"/>
      <c r="D77" s="12"/>
      <c r="E77" s="12"/>
      <c r="F77" s="11"/>
      <c r="G77" s="11"/>
      <c r="H77" s="11"/>
      <c r="I77" s="11"/>
      <c r="J77" s="11"/>
      <c r="K77" s="11"/>
      <c r="L77" s="12"/>
      <c r="M77" s="12"/>
      <c r="N77" s="6"/>
      <c r="O77" s="7"/>
      <c r="P77" s="7"/>
      <c r="Q77" s="7"/>
      <c r="R77" s="7"/>
      <c r="S77" s="7"/>
      <c r="T77" s="7"/>
      <c r="U77" s="7"/>
      <c r="V77" s="26"/>
      <c r="W77" s="26"/>
      <c r="X77" s="115"/>
      <c r="Y77" s="26"/>
      <c r="Z77" s="260"/>
      <c r="AA77" s="260"/>
      <c r="AB77" s="260"/>
      <c r="AC77" s="260"/>
      <c r="AD77" s="304"/>
      <c r="AE77" s="11"/>
      <c r="AF77" s="13"/>
      <c r="AG77" s="16"/>
    </row>
    <row r="78" spans="1:33" ht="14.4" x14ac:dyDescent="0.3">
      <c r="A78" s="12"/>
      <c r="B78" s="16"/>
      <c r="C78" s="16"/>
      <c r="D78" s="12"/>
      <c r="E78" s="12"/>
      <c r="F78" s="11"/>
      <c r="G78" s="11"/>
      <c r="H78" s="11"/>
      <c r="I78" s="11"/>
      <c r="J78" s="11"/>
      <c r="K78" s="11"/>
      <c r="L78" s="12"/>
      <c r="M78" s="12"/>
      <c r="N78" s="6"/>
      <c r="O78" s="7"/>
      <c r="P78" s="7"/>
      <c r="Q78" s="7"/>
      <c r="R78" s="7"/>
      <c r="S78" s="7"/>
      <c r="T78" s="7"/>
      <c r="U78" s="7"/>
      <c r="V78" s="26"/>
      <c r="W78" s="26"/>
      <c r="X78" s="115"/>
      <c r="Y78" s="26"/>
      <c r="Z78" s="260" t="s">
        <v>220</v>
      </c>
      <c r="AA78" s="260" cm="1">
        <f t="array" ref="AA78:AB82">LINEST($E$2:$E$51,$A$2:$A$51,TRUE,TRUE)</f>
        <v>0.85429137093880902</v>
      </c>
      <c r="AB78" s="260">
        <v>49032.899141252135</v>
      </c>
      <c r="AC78" s="260" t="s">
        <v>221</v>
      </c>
      <c r="AD78" s="304"/>
      <c r="AE78" s="11"/>
      <c r="AF78" s="13"/>
      <c r="AG78" s="16"/>
    </row>
    <row r="79" spans="1:33" ht="14.4" x14ac:dyDescent="0.3">
      <c r="A79" s="12"/>
      <c r="B79" s="16"/>
      <c r="C79" s="16"/>
      <c r="D79" s="12"/>
      <c r="E79" s="12"/>
      <c r="F79" s="11"/>
      <c r="G79" s="11"/>
      <c r="H79" s="11"/>
      <c r="I79" s="11"/>
      <c r="J79" s="11"/>
      <c r="K79" s="11"/>
      <c r="L79" s="12"/>
      <c r="M79" s="12"/>
      <c r="N79" s="6"/>
      <c r="O79" s="7"/>
      <c r="P79" s="7"/>
      <c r="Q79" s="7"/>
      <c r="R79" s="7"/>
      <c r="S79" s="7"/>
      <c r="T79" s="7"/>
      <c r="U79" s="7"/>
      <c r="V79" s="26"/>
      <c r="W79" s="26"/>
      <c r="X79" s="115"/>
      <c r="Y79" s="26"/>
      <c r="Z79" s="260" t="s">
        <v>192</v>
      </c>
      <c r="AA79" s="260">
        <v>2.9305591498200435E-2</v>
      </c>
      <c r="AB79" s="260">
        <v>2537.8969493237901</v>
      </c>
      <c r="AC79" s="260" t="s">
        <v>192</v>
      </c>
      <c r="AD79" s="304"/>
      <c r="AE79" s="11"/>
      <c r="AF79" s="13"/>
      <c r="AG79" s="16"/>
    </row>
    <row r="80" spans="1:33" ht="14.4" x14ac:dyDescent="0.3">
      <c r="A80" s="12"/>
      <c r="B80" s="16"/>
      <c r="C80" s="16"/>
      <c r="D80" s="12"/>
      <c r="E80" s="12"/>
      <c r="F80" s="11"/>
      <c r="G80" s="11"/>
      <c r="H80" s="11"/>
      <c r="I80" s="11"/>
      <c r="J80" s="11"/>
      <c r="K80" s="11"/>
      <c r="L80" s="12"/>
      <c r="M80" s="12"/>
      <c r="N80" s="6"/>
      <c r="O80" s="7"/>
      <c r="P80" s="7"/>
      <c r="Q80" s="7"/>
      <c r="R80" s="7"/>
      <c r="S80" s="7"/>
      <c r="T80" s="7"/>
      <c r="U80" s="7"/>
      <c r="V80" s="26"/>
      <c r="W80" s="26"/>
      <c r="X80" s="115"/>
      <c r="Y80" s="26"/>
      <c r="Z80" s="260" t="s">
        <v>147</v>
      </c>
      <c r="AA80" s="260">
        <v>0.94653531608043917</v>
      </c>
      <c r="AB80" s="260">
        <v>9416.3494412128894</v>
      </c>
      <c r="AC80" s="260" t="s">
        <v>61</v>
      </c>
      <c r="AD80" s="304"/>
      <c r="AE80" s="11"/>
      <c r="AF80" s="13"/>
      <c r="AG80" s="16"/>
    </row>
    <row r="81" spans="1:33" ht="14.4" x14ac:dyDescent="0.3">
      <c r="A81" s="12"/>
      <c r="B81" s="16"/>
      <c r="C81" s="16"/>
      <c r="D81" s="12"/>
      <c r="E81" s="12"/>
      <c r="F81" s="11"/>
      <c r="G81" s="11"/>
      <c r="H81" s="11"/>
      <c r="I81" s="11"/>
      <c r="J81" s="11"/>
      <c r="K81" s="11"/>
      <c r="L81" s="12"/>
      <c r="M81" s="12"/>
      <c r="N81" s="6"/>
      <c r="O81" s="7"/>
      <c r="P81" s="7"/>
      <c r="Q81" s="7"/>
      <c r="R81" s="7"/>
      <c r="S81" s="7"/>
      <c r="T81" s="7"/>
      <c r="U81" s="7"/>
      <c r="V81" s="26"/>
      <c r="W81" s="26"/>
      <c r="X81" s="115"/>
      <c r="Y81" s="26"/>
      <c r="Z81" s="260" t="s">
        <v>148</v>
      </c>
      <c r="AA81" s="260">
        <v>849.78890439560882</v>
      </c>
      <c r="AB81" s="260">
        <v>48</v>
      </c>
      <c r="AC81" s="260" t="s">
        <v>149</v>
      </c>
      <c r="AD81" s="304"/>
      <c r="AE81" s="11"/>
      <c r="AF81" s="13"/>
      <c r="AG81" s="16"/>
    </row>
    <row r="82" spans="1:33" ht="14.4" x14ac:dyDescent="0.3">
      <c r="A82" s="12"/>
      <c r="B82" s="16"/>
      <c r="C82" s="16"/>
      <c r="D82" s="12"/>
      <c r="E82" s="12"/>
      <c r="F82" s="11"/>
      <c r="G82" s="11"/>
      <c r="H82" s="11"/>
      <c r="I82" s="11"/>
      <c r="J82" s="11"/>
      <c r="K82" s="11"/>
      <c r="L82" s="12"/>
      <c r="M82" s="12"/>
      <c r="N82" s="6"/>
      <c r="O82" s="7"/>
      <c r="P82" s="7"/>
      <c r="Q82" s="7"/>
      <c r="R82" s="7"/>
      <c r="S82" s="7"/>
      <c r="T82" s="7"/>
      <c r="U82" s="7"/>
      <c r="V82" s="26"/>
      <c r="W82" s="26"/>
      <c r="X82" s="115"/>
      <c r="Y82" s="26"/>
      <c r="Z82" s="260" t="s">
        <v>150</v>
      </c>
      <c r="AA82" s="260">
        <v>75348773930.795731</v>
      </c>
      <c r="AB82" s="260">
        <v>4256046566.3534546</v>
      </c>
      <c r="AC82" s="260" t="s">
        <v>116</v>
      </c>
      <c r="AD82" s="304"/>
      <c r="AE82" s="11"/>
      <c r="AF82" s="13"/>
      <c r="AG82" s="16"/>
    </row>
    <row r="83" spans="1:33" ht="13.8" x14ac:dyDescent="0.25">
      <c r="A83" s="12"/>
      <c r="B83" s="16"/>
      <c r="C83" s="16"/>
      <c r="D83" s="12"/>
      <c r="E83" s="12"/>
      <c r="F83" s="11"/>
      <c r="G83" s="11"/>
      <c r="H83" s="11"/>
      <c r="I83" s="11"/>
      <c r="J83" s="11"/>
      <c r="K83" s="11"/>
      <c r="L83" s="12"/>
      <c r="M83" s="12"/>
      <c r="N83" s="6"/>
      <c r="O83" s="7"/>
      <c r="P83" s="7"/>
      <c r="Q83" s="7"/>
      <c r="R83" s="7"/>
      <c r="S83" s="7"/>
      <c r="T83" s="7"/>
      <c r="U83" s="7"/>
      <c r="V83" s="26"/>
      <c r="W83" s="26"/>
      <c r="X83" s="115"/>
      <c r="Y83" s="26"/>
      <c r="Z83" s="304"/>
      <c r="AA83" s="304"/>
      <c r="AB83" s="304"/>
      <c r="AC83" s="304"/>
      <c r="AD83" s="304"/>
      <c r="AE83" s="11"/>
      <c r="AF83" s="13"/>
      <c r="AG83" s="16"/>
    </row>
    <row r="84" spans="1:33" ht="13.8" x14ac:dyDescent="0.25">
      <c r="A84" s="12"/>
      <c r="B84" s="16"/>
      <c r="C84" s="16"/>
      <c r="D84" s="12"/>
      <c r="E84" s="12"/>
      <c r="F84" s="11"/>
      <c r="G84" s="11"/>
      <c r="H84" s="11"/>
      <c r="I84" s="11"/>
      <c r="J84" s="11"/>
      <c r="K84" s="11"/>
      <c r="L84" s="12"/>
      <c r="M84" s="12"/>
      <c r="N84" s="6"/>
      <c r="O84" s="7"/>
      <c r="P84" s="7"/>
      <c r="Q84" s="7"/>
      <c r="R84" s="7"/>
      <c r="S84" s="7"/>
      <c r="T84" s="7"/>
      <c r="U84" s="7"/>
      <c r="V84" s="26"/>
      <c r="W84" s="26"/>
      <c r="X84" s="115"/>
      <c r="Y84" s="26"/>
      <c r="Z84" s="304"/>
      <c r="AA84" s="304"/>
      <c r="AB84" s="304"/>
      <c r="AC84" s="304"/>
      <c r="AD84" s="304"/>
      <c r="AE84" s="11"/>
      <c r="AF84" s="13"/>
      <c r="AG84" s="16"/>
    </row>
    <row r="85" spans="1:33" ht="13.8" x14ac:dyDescent="0.25">
      <c r="A85" s="12"/>
      <c r="B85" s="16"/>
      <c r="C85" s="16"/>
      <c r="D85" s="12"/>
      <c r="E85" s="12"/>
      <c r="F85" s="11"/>
      <c r="G85" s="11"/>
      <c r="H85" s="11"/>
      <c r="I85" s="11"/>
      <c r="J85" s="11"/>
      <c r="K85" s="11"/>
      <c r="L85" s="12"/>
      <c r="M85" s="12"/>
      <c r="N85" s="6"/>
      <c r="O85" s="7"/>
      <c r="P85" s="7"/>
      <c r="Q85" s="7"/>
      <c r="R85" s="7"/>
      <c r="S85" s="7"/>
      <c r="T85" s="7"/>
      <c r="U85" s="7"/>
      <c r="V85" s="26"/>
      <c r="W85" s="26"/>
      <c r="X85" s="115"/>
      <c r="Y85" s="26"/>
      <c r="Z85" s="304"/>
      <c r="AA85" s="304"/>
      <c r="AB85" s="304"/>
      <c r="AC85" s="304"/>
      <c r="AD85" s="304"/>
      <c r="AE85" s="11"/>
      <c r="AF85" s="13"/>
      <c r="AG85" s="16"/>
    </row>
    <row r="86" spans="1:33" ht="13.8" x14ac:dyDescent="0.25">
      <c r="A86" s="12"/>
      <c r="B86" s="16"/>
      <c r="C86" s="16"/>
      <c r="D86" s="12"/>
      <c r="E86" s="12"/>
      <c r="F86" s="11"/>
      <c r="G86" s="11"/>
      <c r="H86" s="11"/>
      <c r="I86" s="11"/>
      <c r="J86" s="11"/>
      <c r="K86" s="11"/>
      <c r="L86" s="12"/>
      <c r="M86" s="12"/>
      <c r="N86" s="6"/>
      <c r="O86" s="7"/>
      <c r="P86" s="7"/>
      <c r="Q86" s="7"/>
      <c r="R86" s="7"/>
      <c r="S86" s="7"/>
      <c r="T86" s="7"/>
      <c r="U86" s="7"/>
      <c r="V86" s="26"/>
      <c r="W86" s="26"/>
      <c r="X86" s="115"/>
      <c r="Y86" s="26"/>
      <c r="Z86" s="295" t="s">
        <v>61</v>
      </c>
      <c r="AA86" s="296">
        <f>SQRT((SUM($AA$2:$AA$53) / (50-2)))</f>
        <v>9416.3494412128875</v>
      </c>
      <c r="AB86" s="299" t="str">
        <f ca="1">_xlfn.FORMULATEXT(AA86)</f>
        <v>=SQRT((SUM($AA$2:$AA$53) / (50-2)))</v>
      </c>
      <c r="AC86" s="304"/>
      <c r="AD86" s="304"/>
      <c r="AE86" s="11"/>
      <c r="AF86" s="13"/>
      <c r="AG86" s="16"/>
    </row>
    <row r="87" spans="1:33" ht="13.8" x14ac:dyDescent="0.25">
      <c r="A87" s="12"/>
      <c r="B87" s="16"/>
      <c r="C87" s="16"/>
      <c r="D87" s="12"/>
      <c r="E87" s="12"/>
      <c r="F87" s="11"/>
      <c r="G87" s="11"/>
      <c r="H87" s="11"/>
      <c r="I87" s="11"/>
      <c r="J87" s="11"/>
      <c r="K87" s="11"/>
      <c r="L87" s="12"/>
      <c r="M87" s="12"/>
      <c r="N87" s="6"/>
      <c r="O87" s="7"/>
      <c r="P87" s="7"/>
      <c r="Q87" s="7"/>
      <c r="R87" s="7"/>
      <c r="S87" s="7"/>
      <c r="T87" s="7"/>
      <c r="U87" s="7"/>
      <c r="V87" s="26"/>
      <c r="W87" s="26"/>
      <c r="X87" s="115"/>
      <c r="Y87" s="26"/>
      <c r="Z87" s="295" t="s">
        <v>224</v>
      </c>
      <c r="AA87" s="297">
        <f>AVERAGE($E$2:$E$51)</f>
        <v>112012.63920000002</v>
      </c>
      <c r="AB87" s="299" t="str">
        <f t="shared" ref="AB87:AB88" ca="1" si="7">_xlfn.FORMULATEXT(AA87)</f>
        <v>=AVERAGE($E$2:$E$51)</v>
      </c>
      <c r="AC87" s="304"/>
      <c r="AD87" s="304"/>
      <c r="AE87" s="11"/>
      <c r="AF87" s="13"/>
      <c r="AG87" s="16"/>
    </row>
    <row r="88" spans="1:33" ht="13.8" x14ac:dyDescent="0.25">
      <c r="A88" s="12"/>
      <c r="B88" s="16"/>
      <c r="C88" s="16"/>
      <c r="D88" s="12"/>
      <c r="E88" s="12"/>
      <c r="F88" s="11"/>
      <c r="G88" s="11"/>
      <c r="H88" s="11"/>
      <c r="I88" s="11"/>
      <c r="J88" s="11"/>
      <c r="K88" s="11"/>
      <c r="L88" s="12"/>
      <c r="M88" s="12"/>
      <c r="N88" s="6"/>
      <c r="O88" s="7"/>
      <c r="P88" s="7"/>
      <c r="Q88" s="7"/>
      <c r="R88" s="7"/>
      <c r="S88" s="7"/>
      <c r="T88" s="7"/>
      <c r="U88" s="7"/>
      <c r="V88" s="26"/>
      <c r="W88" s="26"/>
      <c r="X88" s="115"/>
      <c r="Y88" s="26"/>
      <c r="Z88" s="295" t="s">
        <v>223</v>
      </c>
      <c r="AA88" s="295">
        <f>DEVSQ($A$2:$A$51)</f>
        <v>103243840358.20966</v>
      </c>
      <c r="AB88" s="299" t="str">
        <f t="shared" ca="1" si="7"/>
        <v>=DEVSQ($A$2:$A$51)</v>
      </c>
      <c r="AC88" s="304"/>
      <c r="AD88" s="304"/>
      <c r="AE88" s="11"/>
      <c r="AF88" s="13"/>
      <c r="AG88" s="16"/>
    </row>
    <row r="89" spans="1:33" ht="13.8" x14ac:dyDescent="0.25">
      <c r="A89" s="12"/>
      <c r="B89" s="16"/>
      <c r="C89" s="16"/>
      <c r="D89" s="12"/>
      <c r="E89" s="12"/>
      <c r="F89" s="11"/>
      <c r="G89" s="11"/>
      <c r="H89" s="11"/>
      <c r="I89" s="11"/>
      <c r="J89" s="11"/>
      <c r="K89" s="11"/>
      <c r="L89" s="12"/>
      <c r="M89" s="12"/>
      <c r="N89" s="6"/>
      <c r="O89" s="7"/>
      <c r="P89" s="7"/>
      <c r="Q89" s="7"/>
      <c r="R89" s="7"/>
      <c r="S89" s="7"/>
      <c r="T89" s="7"/>
      <c r="U89" s="7"/>
      <c r="V89" s="26"/>
      <c r="W89" s="26"/>
      <c r="X89" s="115"/>
      <c r="Y89" s="26"/>
      <c r="Z89" s="295" t="s">
        <v>216</v>
      </c>
      <c r="AA89" s="297">
        <v>250000</v>
      </c>
      <c r="AB89" s="301"/>
      <c r="AC89" s="304"/>
      <c r="AD89" s="304"/>
      <c r="AE89" s="11"/>
      <c r="AF89" s="13"/>
      <c r="AG89" s="16"/>
    </row>
    <row r="90" spans="1:33" ht="13.8" x14ac:dyDescent="0.25">
      <c r="A90" s="12"/>
      <c r="B90" s="16"/>
      <c r="C90" s="16"/>
      <c r="D90" s="12"/>
      <c r="E90" s="12"/>
      <c r="F90" s="11"/>
      <c r="G90" s="11"/>
      <c r="H90" s="11"/>
      <c r="I90" s="11"/>
      <c r="J90" s="11"/>
      <c r="K90" s="11"/>
      <c r="L90" s="12"/>
      <c r="M90" s="12"/>
      <c r="N90" s="6"/>
      <c r="O90" s="7"/>
      <c r="P90" s="7"/>
      <c r="Q90" s="7"/>
      <c r="R90" s="7"/>
      <c r="S90" s="7"/>
      <c r="T90" s="7"/>
      <c r="U90" s="7"/>
      <c r="V90" s="26"/>
      <c r="W90" s="26"/>
      <c r="X90" s="115"/>
      <c r="Y90" s="26"/>
      <c r="Z90" s="295" t="s">
        <v>225</v>
      </c>
      <c r="AA90" s="295">
        <v>0.85429137093880902</v>
      </c>
      <c r="AB90" s="301"/>
      <c r="AC90" s="304"/>
      <c r="AD90" s="304"/>
      <c r="AE90" s="11"/>
      <c r="AF90" s="13"/>
      <c r="AG90" s="16"/>
    </row>
    <row r="91" spans="1:33" ht="13.8" x14ac:dyDescent="0.25">
      <c r="A91" s="12"/>
      <c r="B91" s="16"/>
      <c r="C91" s="16"/>
      <c r="D91" s="12"/>
      <c r="E91" s="12"/>
      <c r="F91" s="11"/>
      <c r="G91" s="11"/>
      <c r="H91" s="11"/>
      <c r="I91" s="11"/>
      <c r="J91" s="11"/>
      <c r="K91" s="11"/>
      <c r="L91" s="12"/>
      <c r="M91" s="12"/>
      <c r="N91" s="6"/>
      <c r="O91" s="7"/>
      <c r="P91" s="7"/>
      <c r="Q91" s="7"/>
      <c r="R91" s="7"/>
      <c r="S91" s="7"/>
      <c r="T91" s="7"/>
      <c r="U91" s="7"/>
      <c r="V91" s="26"/>
      <c r="W91" s="26"/>
      <c r="X91" s="115"/>
      <c r="Y91" s="26"/>
      <c r="Z91" s="295"/>
      <c r="AA91" s="295"/>
      <c r="AB91" s="301"/>
      <c r="AC91" s="304"/>
      <c r="AD91" s="304"/>
      <c r="AE91" s="11"/>
      <c r="AF91" s="13"/>
      <c r="AG91" s="16"/>
    </row>
    <row r="92" spans="1:33" ht="14.4" x14ac:dyDescent="0.3">
      <c r="A92" s="12"/>
      <c r="B92" s="16"/>
      <c r="C92" s="16"/>
      <c r="D92" s="12"/>
      <c r="E92" s="12"/>
      <c r="F92" s="11"/>
      <c r="G92" s="11"/>
      <c r="H92" s="11"/>
      <c r="I92" s="11"/>
      <c r="J92" s="11"/>
      <c r="K92" s="11"/>
      <c r="L92" s="12"/>
      <c r="M92" s="12"/>
      <c r="N92" s="6"/>
      <c r="O92" s="7"/>
      <c r="P92" s="7"/>
      <c r="Q92" s="7"/>
      <c r="R92" s="7"/>
      <c r="S92" s="7"/>
      <c r="T92" s="7"/>
      <c r="U92" s="7"/>
      <c r="V92" s="26"/>
      <c r="W92" s="26"/>
      <c r="X92" s="115"/>
      <c r="Y92" s="26"/>
      <c r="Z92" s="295" t="s">
        <v>226</v>
      </c>
      <c r="AA92" s="298">
        <f>SQRT((AA86^2/AA90^2)*(1/50+((AA89-AA87)^2/(AA90^2*AA88))))</f>
        <v>5755.9605897120082</v>
      </c>
      <c r="AB92" s="300" t="str">
        <f ca="1">_xlfn.FORMULATEXT(AA92)</f>
        <v>=SQRT((AA86^2/AA90^2)*(1/50+((AA89-AA87)^2/(AA90^2*AA88))))</v>
      </c>
      <c r="AC92" s="304"/>
      <c r="AD92" s="304"/>
      <c r="AE92" s="11"/>
      <c r="AF92" s="13"/>
      <c r="AG92" s="16"/>
    </row>
    <row r="93" spans="1:33" ht="14.4" x14ac:dyDescent="0.3">
      <c r="A93" s="12"/>
      <c r="B93" s="16"/>
      <c r="C93" s="16"/>
      <c r="D93" s="12"/>
      <c r="E93" s="12"/>
      <c r="F93" s="11"/>
      <c r="G93" s="11"/>
      <c r="H93" s="11"/>
      <c r="I93" s="11"/>
      <c r="J93" s="11"/>
      <c r="K93" s="11"/>
      <c r="L93" s="12"/>
      <c r="M93" s="12"/>
      <c r="N93" s="6"/>
      <c r="O93" s="7"/>
      <c r="P93" s="7"/>
      <c r="Q93" s="7"/>
      <c r="R93" s="7"/>
      <c r="S93" s="7"/>
      <c r="T93" s="7"/>
      <c r="U93" s="7"/>
      <c r="V93" s="26"/>
      <c r="W93" s="26"/>
      <c r="X93" s="115"/>
      <c r="Y93" s="26"/>
      <c r="Z93" s="295" t="s">
        <v>227</v>
      </c>
      <c r="AA93" s="295">
        <f>_xlfn.T.INV.2T(0.05,48)</f>
        <v>2.0106347576242314</v>
      </c>
      <c r="AB93" s="300" t="str">
        <f t="shared" ref="AB93:AB97" ca="1" si="8">_xlfn.FORMULATEXT(AA93)</f>
        <v>=T.INV.2T(0.05;48)</v>
      </c>
      <c r="AC93" s="304"/>
      <c r="AD93" s="304"/>
      <c r="AE93" s="11"/>
      <c r="AF93" s="13"/>
      <c r="AG93" s="16"/>
    </row>
    <row r="94" spans="1:33" ht="14.4" x14ac:dyDescent="0.3">
      <c r="A94" s="12"/>
      <c r="B94" s="16"/>
      <c r="C94" s="16"/>
      <c r="D94" s="12"/>
      <c r="E94" s="12"/>
      <c r="F94" s="11"/>
      <c r="G94" s="11"/>
      <c r="H94" s="11"/>
      <c r="I94" s="11"/>
      <c r="J94" s="11"/>
      <c r="K94" s="11"/>
      <c r="L94" s="12"/>
      <c r="M94" s="12"/>
      <c r="N94" s="6"/>
      <c r="O94" s="7"/>
      <c r="P94" s="7"/>
      <c r="Q94" s="7"/>
      <c r="R94" s="7"/>
      <c r="S94" s="7"/>
      <c r="T94" s="7"/>
      <c r="U94" s="7"/>
      <c r="V94" s="26"/>
      <c r="W94" s="26"/>
      <c r="X94" s="115"/>
      <c r="Y94" s="26"/>
      <c r="Z94" s="295" t="s">
        <v>228</v>
      </c>
      <c r="AA94" s="298">
        <f>AA92 * AA93</f>
        <v>11573.134425190232</v>
      </c>
      <c r="AB94" s="300" t="str">
        <f t="shared" ca="1" si="8"/>
        <v>=AA92 * AA93</v>
      </c>
      <c r="AC94" s="304"/>
      <c r="AD94" s="304"/>
      <c r="AE94" s="11"/>
      <c r="AF94" s="13"/>
      <c r="AG94" s="16"/>
    </row>
    <row r="95" spans="1:33" ht="14.4" x14ac:dyDescent="0.3">
      <c r="A95" s="12"/>
      <c r="B95" s="16"/>
      <c r="C95" s="16"/>
      <c r="D95" s="12"/>
      <c r="E95" s="12"/>
      <c r="F95" s="11"/>
      <c r="G95" s="11"/>
      <c r="H95" s="11"/>
      <c r="I95" s="11"/>
      <c r="J95" s="11"/>
      <c r="K95" s="11"/>
      <c r="L95" s="12"/>
      <c r="M95" s="12"/>
      <c r="N95" s="6"/>
      <c r="O95" s="7"/>
      <c r="P95" s="7"/>
      <c r="Q95" s="7"/>
      <c r="R95" s="7"/>
      <c r="S95" s="7"/>
      <c r="T95" s="7"/>
      <c r="U95" s="7"/>
      <c r="V95" s="26"/>
      <c r="W95" s="26"/>
      <c r="X95" s="115"/>
      <c r="Y95" s="26"/>
      <c r="Z95" s="293" t="s">
        <v>229</v>
      </c>
      <c r="AA95" s="294">
        <f>(AA89 - AB78) / AA78</f>
        <v>235244.21256637355</v>
      </c>
      <c r="AB95" s="300" t="str">
        <f t="shared" ca="1" si="8"/>
        <v>=(AA89 - AB78) / AA78</v>
      </c>
      <c r="AC95" s="304"/>
      <c r="AD95" s="304"/>
      <c r="AE95" s="11"/>
      <c r="AF95" s="13"/>
      <c r="AG95" s="16"/>
    </row>
    <row r="96" spans="1:33" ht="14.4" x14ac:dyDescent="0.3">
      <c r="A96" s="12"/>
      <c r="B96" s="16"/>
      <c r="C96" s="16"/>
      <c r="D96" s="12"/>
      <c r="E96" s="12"/>
      <c r="F96" s="11"/>
      <c r="G96" s="11"/>
      <c r="H96" s="11"/>
      <c r="I96" s="11"/>
      <c r="J96" s="11"/>
      <c r="K96" s="11"/>
      <c r="L96" s="12"/>
      <c r="M96" s="12"/>
      <c r="N96" s="6"/>
      <c r="O96" s="7"/>
      <c r="P96" s="7"/>
      <c r="Q96" s="7"/>
      <c r="R96" s="7"/>
      <c r="S96" s="7"/>
      <c r="T96" s="7"/>
      <c r="U96" s="7"/>
      <c r="V96" s="26"/>
      <c r="W96" s="26"/>
      <c r="X96" s="115"/>
      <c r="Y96" s="26"/>
      <c r="Z96" s="293" t="s">
        <v>230</v>
      </c>
      <c r="AA96" s="294">
        <f>AA95 - AA94</f>
        <v>223671.07814118333</v>
      </c>
      <c r="AB96" s="300" t="str">
        <f t="shared" ca="1" si="8"/>
        <v>=AA95 - AA94</v>
      </c>
      <c r="AC96" s="304"/>
      <c r="AD96" s="304"/>
      <c r="AE96" s="11"/>
      <c r="AF96" s="13"/>
      <c r="AG96" s="16"/>
    </row>
    <row r="97" spans="1:33" ht="14.4" x14ac:dyDescent="0.3">
      <c r="A97" s="12"/>
      <c r="B97" s="16"/>
      <c r="C97" s="16"/>
      <c r="D97" s="12"/>
      <c r="E97" s="12"/>
      <c r="F97" s="11"/>
      <c r="G97" s="11"/>
      <c r="H97" s="11"/>
      <c r="I97" s="11"/>
      <c r="J97" s="11"/>
      <c r="K97" s="11"/>
      <c r="L97" s="12"/>
      <c r="M97" s="12"/>
      <c r="N97" s="6"/>
      <c r="O97" s="7"/>
      <c r="P97" s="7"/>
      <c r="Q97" s="7"/>
      <c r="R97" s="7"/>
      <c r="S97" s="7"/>
      <c r="T97" s="7"/>
      <c r="U97" s="7"/>
      <c r="V97" s="26"/>
      <c r="W97" s="26"/>
      <c r="X97" s="115"/>
      <c r="Y97" s="26"/>
      <c r="Z97" s="293" t="s">
        <v>231</v>
      </c>
      <c r="AA97" s="294">
        <f>AA95 + AA94</f>
        <v>246817.34699156377</v>
      </c>
      <c r="AB97" s="300" t="str">
        <f t="shared" ca="1" si="8"/>
        <v>=AA95 + AA94</v>
      </c>
      <c r="AC97" s="304"/>
      <c r="AD97" s="304"/>
      <c r="AE97" s="11"/>
      <c r="AF97" s="13"/>
      <c r="AG97" s="16"/>
    </row>
    <row r="98" spans="1:33" ht="13.8" x14ac:dyDescent="0.25">
      <c r="A98" s="12"/>
      <c r="B98" s="16"/>
      <c r="C98" s="16"/>
      <c r="D98" s="12"/>
      <c r="E98" s="12"/>
      <c r="F98" s="11"/>
      <c r="G98" s="11"/>
      <c r="H98" s="11"/>
      <c r="I98" s="11"/>
      <c r="J98" s="11"/>
      <c r="K98" s="11"/>
      <c r="L98" s="12"/>
      <c r="M98" s="12"/>
      <c r="N98" s="6"/>
      <c r="O98" s="7"/>
      <c r="P98" s="7"/>
      <c r="Q98" s="7"/>
      <c r="R98" s="7"/>
      <c r="S98" s="7"/>
      <c r="T98" s="7"/>
      <c r="U98" s="7"/>
      <c r="V98" s="26"/>
      <c r="W98" s="26"/>
      <c r="X98" s="115"/>
      <c r="Y98" s="26"/>
      <c r="Z98" s="303"/>
      <c r="AA98" s="303"/>
      <c r="AB98" s="304"/>
      <c r="AC98" s="304"/>
      <c r="AD98" s="304"/>
      <c r="AE98" s="11"/>
      <c r="AF98" s="13"/>
      <c r="AG98" s="16"/>
    </row>
    <row r="99" spans="1:33" ht="13.2" x14ac:dyDescent="0.25">
      <c r="A99" s="12"/>
      <c r="B99" s="16"/>
      <c r="C99" s="16"/>
      <c r="D99" s="12"/>
      <c r="E99" s="12"/>
      <c r="F99" s="11"/>
      <c r="G99" s="11"/>
      <c r="H99" s="11"/>
      <c r="I99" s="11"/>
      <c r="J99" s="11"/>
      <c r="K99" s="11"/>
      <c r="L99" s="12"/>
      <c r="M99" s="12"/>
      <c r="N99" s="6"/>
      <c r="O99" s="7"/>
      <c r="P99" s="7"/>
      <c r="Q99" s="7"/>
      <c r="R99" s="7"/>
      <c r="S99" s="7"/>
      <c r="T99" s="7"/>
      <c r="U99" s="7"/>
      <c r="V99" s="26"/>
      <c r="W99" s="26"/>
      <c r="X99" s="115"/>
      <c r="Y99" s="26"/>
      <c r="Z99" s="26"/>
      <c r="AA99" s="26"/>
      <c r="AB99" s="26"/>
      <c r="AC99" s="26"/>
      <c r="AD99" s="26"/>
      <c r="AE99" s="26"/>
    </row>
    <row r="100" spans="1:33" ht="13.2" x14ac:dyDescent="0.25">
      <c r="A100" s="12"/>
      <c r="B100" s="16"/>
      <c r="C100" s="16"/>
      <c r="D100" s="12"/>
      <c r="E100" s="12"/>
      <c r="F100" s="11"/>
      <c r="G100" s="11"/>
      <c r="H100" s="11"/>
      <c r="I100" s="11"/>
      <c r="J100" s="11"/>
      <c r="K100" s="11"/>
      <c r="L100" s="12"/>
      <c r="M100" s="12"/>
      <c r="N100" s="6"/>
      <c r="O100" s="7"/>
      <c r="P100" s="7"/>
      <c r="Q100" s="7"/>
      <c r="R100" s="7"/>
      <c r="S100" s="7"/>
      <c r="T100" s="7"/>
      <c r="U100" s="7"/>
      <c r="V100" s="26"/>
      <c r="W100" s="26"/>
      <c r="X100" s="115"/>
      <c r="Y100" s="26"/>
      <c r="Z100" s="26"/>
      <c r="AA100" s="26"/>
      <c r="AB100" s="26"/>
      <c r="AC100" s="26"/>
      <c r="AD100" s="26"/>
      <c r="AE100" s="26"/>
    </row>
    <row r="101" spans="1:33" ht="13.2" x14ac:dyDescent="0.25">
      <c r="A101" s="12"/>
      <c r="B101" s="16"/>
      <c r="C101" s="16"/>
      <c r="D101" s="12"/>
      <c r="E101" s="12"/>
      <c r="F101" s="11"/>
      <c r="G101" s="11"/>
      <c r="H101" s="11"/>
      <c r="I101" s="11"/>
      <c r="J101" s="11"/>
      <c r="K101" s="11"/>
      <c r="L101" s="12"/>
      <c r="M101" s="12"/>
      <c r="N101" s="6"/>
      <c r="O101" s="7"/>
      <c r="P101" s="7"/>
      <c r="Q101" s="7"/>
      <c r="R101" s="7"/>
      <c r="S101" s="7"/>
      <c r="T101" s="7"/>
      <c r="U101" s="7"/>
      <c r="V101" s="26"/>
      <c r="W101" s="26"/>
      <c r="X101" s="115"/>
      <c r="Y101" s="26"/>
      <c r="Z101" s="26"/>
      <c r="AA101" s="26"/>
      <c r="AB101" s="26"/>
      <c r="AC101" s="26"/>
      <c r="AD101" s="26"/>
      <c r="AE101" s="26"/>
    </row>
    <row r="102" spans="1:33" ht="13.2" x14ac:dyDescent="0.25">
      <c r="A102" s="12"/>
      <c r="B102" s="16"/>
      <c r="C102" s="16"/>
      <c r="D102" s="12"/>
      <c r="E102" s="12"/>
      <c r="F102" s="11"/>
      <c r="G102" s="11"/>
      <c r="H102" s="11"/>
      <c r="I102" s="11"/>
      <c r="J102" s="11"/>
      <c r="K102" s="11"/>
      <c r="L102" s="12"/>
      <c r="M102" s="12"/>
      <c r="N102" s="6"/>
      <c r="O102" s="7"/>
      <c r="P102" s="7"/>
      <c r="Q102" s="7"/>
      <c r="R102" s="7"/>
      <c r="S102" s="7"/>
      <c r="T102" s="7"/>
      <c r="U102" s="7"/>
      <c r="V102" s="26"/>
      <c r="W102" s="26"/>
      <c r="X102" s="115"/>
      <c r="Y102" s="26"/>
      <c r="Z102" s="26"/>
      <c r="AA102" s="26"/>
      <c r="AB102" s="26"/>
      <c r="AC102" s="26"/>
      <c r="AD102" s="26"/>
      <c r="AE102" s="26"/>
    </row>
    <row r="103" spans="1:33" ht="13.2" x14ac:dyDescent="0.25">
      <c r="A103" s="12"/>
      <c r="B103" s="16"/>
      <c r="C103" s="16"/>
      <c r="D103" s="12"/>
      <c r="E103" s="12"/>
      <c r="F103" s="11"/>
      <c r="G103" s="11"/>
      <c r="H103" s="11"/>
      <c r="I103" s="11"/>
      <c r="J103" s="11"/>
      <c r="K103" s="11"/>
      <c r="L103" s="12"/>
      <c r="M103" s="12"/>
      <c r="N103" s="6"/>
      <c r="O103" s="7"/>
      <c r="P103" s="7"/>
      <c r="Q103" s="7"/>
      <c r="R103" s="7"/>
      <c r="S103" s="7"/>
      <c r="T103" s="7"/>
      <c r="U103" s="7"/>
      <c r="V103" s="26"/>
      <c r="W103" s="26"/>
      <c r="X103" s="115"/>
      <c r="Y103" s="26"/>
      <c r="Z103" s="26"/>
      <c r="AA103" s="26"/>
      <c r="AB103" s="26"/>
      <c r="AC103" s="26"/>
      <c r="AD103" s="26"/>
      <c r="AE103" s="26"/>
    </row>
    <row r="104" spans="1:33" ht="13.2" x14ac:dyDescent="0.25">
      <c r="A104" s="12"/>
      <c r="B104" s="16"/>
      <c r="C104" s="16"/>
      <c r="D104" s="12"/>
      <c r="E104" s="12"/>
      <c r="F104" s="11"/>
      <c r="G104" s="11"/>
      <c r="H104" s="11"/>
      <c r="I104" s="11"/>
      <c r="J104" s="11"/>
      <c r="K104" s="11"/>
      <c r="L104" s="12"/>
      <c r="M104" s="12"/>
      <c r="N104" s="6"/>
      <c r="O104" s="7"/>
      <c r="P104" s="7"/>
      <c r="Q104" s="7"/>
      <c r="R104" s="7"/>
      <c r="S104" s="7"/>
      <c r="T104" s="7"/>
      <c r="U104" s="7"/>
      <c r="V104" s="26"/>
      <c r="W104" s="26"/>
      <c r="X104" s="115"/>
      <c r="Y104" s="26"/>
      <c r="Z104" s="26"/>
      <c r="AA104" s="26"/>
      <c r="AB104" s="26"/>
      <c r="AC104" s="26"/>
      <c r="AD104" s="26"/>
      <c r="AE104" s="26"/>
    </row>
    <row r="105" spans="1:33" ht="13.2" x14ac:dyDescent="0.25">
      <c r="A105" s="12"/>
      <c r="B105" s="16"/>
      <c r="C105" s="16"/>
      <c r="D105" s="12"/>
      <c r="E105" s="12"/>
      <c r="F105" s="11"/>
      <c r="G105" s="11"/>
      <c r="H105" s="11"/>
      <c r="I105" s="11"/>
      <c r="J105" s="11"/>
      <c r="K105" s="11"/>
      <c r="L105" s="12"/>
      <c r="M105" s="12"/>
      <c r="N105" s="6"/>
      <c r="O105" s="7"/>
      <c r="P105" s="7"/>
      <c r="Q105" s="7"/>
      <c r="R105" s="7"/>
      <c r="S105" s="7"/>
      <c r="T105" s="7"/>
      <c r="U105" s="7"/>
      <c r="V105" s="26"/>
      <c r="W105" s="26"/>
      <c r="X105" s="115"/>
      <c r="Y105" s="26"/>
      <c r="Z105" s="26"/>
      <c r="AA105" s="26"/>
      <c r="AB105" s="26"/>
      <c r="AC105" s="26"/>
      <c r="AD105" s="26"/>
      <c r="AE105" s="26"/>
    </row>
    <row r="106" spans="1:33" ht="13.2" x14ac:dyDescent="0.25">
      <c r="A106" s="12"/>
      <c r="B106" s="16"/>
      <c r="C106" s="16"/>
      <c r="D106" s="12"/>
      <c r="E106" s="12"/>
      <c r="F106" s="11"/>
      <c r="G106" s="11"/>
      <c r="H106" s="11"/>
      <c r="I106" s="11"/>
      <c r="J106" s="11"/>
      <c r="K106" s="11"/>
      <c r="L106" s="12"/>
      <c r="M106" s="12"/>
      <c r="N106" s="6"/>
      <c r="O106" s="7"/>
      <c r="P106" s="7"/>
      <c r="Q106" s="7"/>
      <c r="R106" s="7"/>
      <c r="S106" s="7"/>
      <c r="T106" s="7"/>
      <c r="U106" s="7"/>
      <c r="V106" s="26"/>
      <c r="W106" s="26"/>
      <c r="X106" s="115"/>
      <c r="Y106" s="26"/>
      <c r="Z106" s="26"/>
      <c r="AA106" s="26"/>
      <c r="AB106" s="26"/>
      <c r="AC106" s="26"/>
      <c r="AD106" s="26"/>
      <c r="AE106" s="26"/>
    </row>
    <row r="107" spans="1:33" ht="13.2" x14ac:dyDescent="0.25">
      <c r="A107" s="12"/>
      <c r="B107" s="16"/>
      <c r="C107" s="16"/>
      <c r="D107" s="12"/>
      <c r="E107" s="12"/>
      <c r="F107" s="11"/>
      <c r="G107" s="11"/>
      <c r="H107" s="11"/>
      <c r="I107" s="11"/>
      <c r="J107" s="11"/>
      <c r="K107" s="11"/>
      <c r="L107" s="12"/>
      <c r="M107" s="12"/>
      <c r="N107" s="6"/>
      <c r="O107" s="7"/>
      <c r="P107" s="7"/>
      <c r="Q107" s="7"/>
      <c r="R107" s="7"/>
      <c r="S107" s="7"/>
      <c r="T107" s="7"/>
      <c r="U107" s="7"/>
      <c r="V107" s="26"/>
      <c r="W107" s="26"/>
      <c r="X107" s="115"/>
      <c r="Y107" s="26"/>
      <c r="Z107" s="26"/>
      <c r="AA107" s="26"/>
      <c r="AB107" s="26"/>
      <c r="AC107" s="26"/>
      <c r="AD107" s="26"/>
      <c r="AE107" s="26"/>
    </row>
    <row r="108" spans="1:33" ht="13.2" x14ac:dyDescent="0.25">
      <c r="A108" s="12"/>
      <c r="B108" s="16"/>
      <c r="C108" s="16"/>
      <c r="D108" s="12"/>
      <c r="E108" s="12"/>
      <c r="F108" s="11"/>
      <c r="G108" s="11"/>
      <c r="H108" s="11"/>
      <c r="I108" s="11"/>
      <c r="J108" s="11"/>
      <c r="K108" s="11"/>
      <c r="L108" s="12"/>
      <c r="M108" s="12"/>
      <c r="N108" s="6"/>
      <c r="O108" s="7"/>
      <c r="P108" s="7"/>
      <c r="Q108" s="7"/>
      <c r="R108" s="7"/>
      <c r="S108" s="7"/>
      <c r="T108" s="7"/>
      <c r="U108" s="7"/>
      <c r="V108" s="26"/>
      <c r="W108" s="26"/>
      <c r="X108" s="115"/>
      <c r="Y108" s="26"/>
      <c r="Z108" s="26"/>
      <c r="AA108" s="26"/>
      <c r="AB108" s="26"/>
      <c r="AC108" s="26"/>
      <c r="AD108" s="26"/>
      <c r="AE108" s="26"/>
    </row>
    <row r="109" spans="1:33" ht="13.2" x14ac:dyDescent="0.25">
      <c r="A109" s="12"/>
      <c r="B109" s="16"/>
      <c r="C109" s="16"/>
      <c r="D109" s="12"/>
      <c r="E109" s="12"/>
      <c r="F109" s="11"/>
      <c r="G109" s="11"/>
      <c r="H109" s="11"/>
      <c r="I109" s="11"/>
      <c r="J109" s="11"/>
      <c r="K109" s="11"/>
      <c r="L109" s="12"/>
      <c r="M109" s="12"/>
      <c r="N109" s="6"/>
      <c r="O109" s="7"/>
      <c r="P109" s="7"/>
      <c r="Q109" s="7"/>
      <c r="R109" s="7"/>
      <c r="S109" s="7"/>
      <c r="T109" s="7"/>
      <c r="U109" s="7"/>
      <c r="V109" s="26"/>
      <c r="W109" s="26"/>
      <c r="X109" s="115"/>
      <c r="Y109" s="26"/>
      <c r="Z109" s="26"/>
      <c r="AA109" s="26"/>
      <c r="AB109" s="26"/>
      <c r="AC109" s="26"/>
      <c r="AD109" s="26"/>
      <c r="AE109" s="26"/>
    </row>
    <row r="110" spans="1:33" ht="13.2" x14ac:dyDescent="0.25">
      <c r="A110" s="12"/>
      <c r="B110" s="16"/>
      <c r="C110" s="16"/>
      <c r="D110" s="12"/>
      <c r="E110" s="12"/>
      <c r="F110" s="11"/>
      <c r="G110" s="11"/>
      <c r="H110" s="11"/>
      <c r="I110" s="11"/>
      <c r="J110" s="11"/>
      <c r="K110" s="11"/>
      <c r="L110" s="12"/>
      <c r="M110" s="12"/>
      <c r="N110" s="6"/>
      <c r="O110" s="7"/>
      <c r="P110" s="7"/>
      <c r="Q110" s="7"/>
      <c r="R110" s="7"/>
      <c r="S110" s="7"/>
      <c r="T110" s="7"/>
      <c r="U110" s="7"/>
      <c r="V110" s="26"/>
      <c r="W110" s="26"/>
      <c r="X110" s="115"/>
      <c r="Y110" s="26"/>
      <c r="Z110" s="26"/>
      <c r="AA110" s="26"/>
      <c r="AB110" s="26"/>
      <c r="AC110" s="26"/>
      <c r="AD110" s="26"/>
      <c r="AE110" s="26"/>
    </row>
    <row r="111" spans="1:33" ht="13.2" x14ac:dyDescent="0.25">
      <c r="A111" s="12"/>
      <c r="B111" s="16"/>
      <c r="C111" s="16"/>
      <c r="D111" s="12"/>
      <c r="E111" s="12"/>
      <c r="F111" s="11"/>
      <c r="G111" s="11"/>
      <c r="H111" s="11"/>
      <c r="I111" s="11"/>
      <c r="J111" s="11"/>
      <c r="K111" s="11"/>
      <c r="L111" s="12"/>
      <c r="M111" s="12"/>
      <c r="N111" s="6"/>
      <c r="O111" s="7"/>
      <c r="P111" s="7"/>
      <c r="Q111" s="7"/>
      <c r="R111" s="7"/>
      <c r="S111" s="7"/>
      <c r="T111" s="7"/>
      <c r="U111" s="7"/>
      <c r="V111" s="26"/>
      <c r="W111" s="26"/>
      <c r="X111" s="115"/>
      <c r="Y111" s="26"/>
      <c r="Z111" s="26"/>
      <c r="AA111" s="26"/>
      <c r="AB111" s="26"/>
      <c r="AC111" s="26"/>
      <c r="AD111" s="26"/>
      <c r="AE111" s="26"/>
    </row>
    <row r="112" spans="1:33" ht="13.2" x14ac:dyDescent="0.25">
      <c r="A112" s="12"/>
      <c r="B112" s="16"/>
      <c r="C112" s="16"/>
      <c r="D112" s="12"/>
      <c r="E112" s="12"/>
      <c r="F112" s="11"/>
      <c r="G112" s="11"/>
      <c r="H112" s="11"/>
      <c r="I112" s="11"/>
      <c r="J112" s="11"/>
      <c r="K112" s="11"/>
      <c r="L112" s="12"/>
      <c r="M112" s="12"/>
      <c r="N112" s="6"/>
      <c r="O112" s="7"/>
      <c r="P112" s="7"/>
      <c r="Q112" s="7"/>
      <c r="R112" s="7"/>
      <c r="S112" s="7"/>
      <c r="T112" s="7"/>
      <c r="U112" s="7"/>
      <c r="V112" s="26"/>
      <c r="W112" s="26"/>
      <c r="X112" s="115"/>
      <c r="Y112" s="26"/>
      <c r="Z112" s="26"/>
      <c r="AA112" s="26"/>
      <c r="AB112" s="26"/>
      <c r="AC112" s="26"/>
      <c r="AD112" s="26"/>
      <c r="AE112" s="26"/>
    </row>
    <row r="113" spans="1:31" ht="13.2" x14ac:dyDescent="0.25">
      <c r="A113" s="12"/>
      <c r="B113" s="16"/>
      <c r="C113" s="16"/>
      <c r="D113" s="12"/>
      <c r="E113" s="12"/>
      <c r="F113" s="11"/>
      <c r="G113" s="11"/>
      <c r="H113" s="11"/>
      <c r="I113" s="11"/>
      <c r="J113" s="11"/>
      <c r="K113" s="11"/>
      <c r="L113" s="12"/>
      <c r="M113" s="12"/>
      <c r="N113" s="6"/>
      <c r="O113" s="7"/>
      <c r="P113" s="7"/>
      <c r="Q113" s="7"/>
      <c r="R113" s="7"/>
      <c r="S113" s="7"/>
      <c r="T113" s="7"/>
      <c r="U113" s="7"/>
      <c r="V113" s="26"/>
      <c r="W113" s="26"/>
      <c r="X113" s="115"/>
      <c r="Y113" s="26"/>
      <c r="Z113" s="26"/>
      <c r="AA113" s="26"/>
      <c r="AB113" s="26"/>
      <c r="AC113" s="26"/>
      <c r="AD113" s="26"/>
      <c r="AE113" s="26"/>
    </row>
    <row r="114" spans="1:31" ht="13.2" x14ac:dyDescent="0.25">
      <c r="A114" s="12"/>
      <c r="B114" s="16"/>
      <c r="C114" s="16"/>
      <c r="D114" s="12"/>
      <c r="E114" s="12"/>
      <c r="F114" s="11"/>
      <c r="G114" s="11"/>
      <c r="H114" s="11"/>
      <c r="I114" s="11"/>
      <c r="J114" s="11"/>
      <c r="K114" s="11"/>
      <c r="L114" s="12"/>
      <c r="M114" s="12"/>
      <c r="N114" s="6"/>
      <c r="O114" s="7"/>
      <c r="P114" s="7"/>
      <c r="Q114" s="7"/>
      <c r="R114" s="7"/>
      <c r="S114" s="7"/>
      <c r="T114" s="7"/>
      <c r="U114" s="7"/>
      <c r="V114" s="26"/>
      <c r="W114" s="26"/>
      <c r="X114" s="115"/>
      <c r="Y114" s="26"/>
      <c r="Z114" s="26"/>
      <c r="AA114" s="26"/>
      <c r="AB114" s="26"/>
      <c r="AC114" s="26"/>
      <c r="AD114" s="26"/>
      <c r="AE114" s="26"/>
    </row>
    <row r="115" spans="1:31" ht="13.2" x14ac:dyDescent="0.25">
      <c r="A115" s="12"/>
      <c r="B115" s="16"/>
      <c r="C115" s="16"/>
      <c r="D115" s="12"/>
      <c r="E115" s="12"/>
      <c r="F115" s="11"/>
      <c r="G115" s="11"/>
      <c r="H115" s="11"/>
      <c r="I115" s="11"/>
      <c r="J115" s="11"/>
      <c r="K115" s="11"/>
      <c r="L115" s="12"/>
      <c r="M115" s="12"/>
      <c r="N115" s="6"/>
      <c r="O115" s="7"/>
      <c r="P115" s="7"/>
      <c r="Q115" s="7"/>
      <c r="R115" s="7"/>
      <c r="S115" s="7"/>
      <c r="T115" s="7"/>
      <c r="U115" s="7"/>
      <c r="V115" s="26"/>
      <c r="W115" s="26"/>
      <c r="X115" s="115"/>
      <c r="Y115" s="26"/>
      <c r="Z115" s="26"/>
      <c r="AA115" s="26"/>
      <c r="AB115" s="26"/>
      <c r="AC115" s="26"/>
      <c r="AD115" s="26"/>
      <c r="AE115" s="26"/>
    </row>
    <row r="116" spans="1:31" ht="13.2" x14ac:dyDescent="0.25">
      <c r="A116" s="12"/>
      <c r="B116" s="16"/>
      <c r="C116" s="16"/>
      <c r="D116" s="12"/>
      <c r="E116" s="12"/>
      <c r="F116" s="11"/>
      <c r="G116" s="11"/>
      <c r="H116" s="11"/>
      <c r="I116" s="11"/>
      <c r="J116" s="11"/>
      <c r="K116" s="11"/>
      <c r="L116" s="12"/>
      <c r="M116" s="12"/>
      <c r="N116" s="6"/>
      <c r="O116" s="7"/>
      <c r="P116" s="7"/>
      <c r="Q116" s="7"/>
      <c r="R116" s="7"/>
      <c r="S116" s="7"/>
      <c r="T116" s="7"/>
      <c r="U116" s="7"/>
      <c r="V116" s="26"/>
      <c r="W116" s="26"/>
      <c r="X116" s="115"/>
      <c r="Y116" s="26"/>
      <c r="Z116" s="26"/>
      <c r="AA116" s="26"/>
      <c r="AB116" s="26"/>
      <c r="AC116" s="26"/>
      <c r="AD116" s="26"/>
      <c r="AE116" s="26"/>
    </row>
    <row r="117" spans="1:31" ht="13.2" x14ac:dyDescent="0.25">
      <c r="A117" s="12"/>
      <c r="B117" s="16"/>
      <c r="C117" s="16"/>
      <c r="D117" s="12"/>
      <c r="E117" s="12"/>
      <c r="F117" s="11"/>
      <c r="G117" s="11"/>
      <c r="H117" s="11"/>
      <c r="I117" s="11"/>
      <c r="J117" s="11"/>
      <c r="K117" s="11"/>
      <c r="L117" s="12"/>
      <c r="M117" s="12"/>
      <c r="N117" s="6"/>
      <c r="O117" s="7"/>
      <c r="P117" s="7"/>
      <c r="Q117" s="7"/>
      <c r="R117" s="7"/>
      <c r="S117" s="7"/>
      <c r="T117" s="7"/>
      <c r="U117" s="7"/>
      <c r="V117" s="26"/>
      <c r="W117" s="26"/>
      <c r="X117" s="115"/>
      <c r="Y117" s="26"/>
      <c r="Z117" s="26"/>
      <c r="AA117" s="26"/>
      <c r="AB117" s="26"/>
      <c r="AC117" s="26"/>
      <c r="AD117" s="26"/>
      <c r="AE117" s="26"/>
    </row>
    <row r="118" spans="1:31" ht="13.2" x14ac:dyDescent="0.25">
      <c r="A118" s="12"/>
      <c r="B118" s="16"/>
      <c r="C118" s="16"/>
      <c r="D118" s="12"/>
      <c r="E118" s="12"/>
      <c r="F118" s="11"/>
      <c r="G118" s="11"/>
      <c r="H118" s="11"/>
      <c r="I118" s="11"/>
      <c r="J118" s="11"/>
      <c r="K118" s="11"/>
      <c r="L118" s="12"/>
      <c r="M118" s="12"/>
      <c r="N118" s="6"/>
      <c r="O118" s="7"/>
      <c r="P118" s="7"/>
      <c r="Q118" s="7"/>
      <c r="R118" s="7"/>
      <c r="S118" s="7"/>
      <c r="T118" s="7"/>
      <c r="U118" s="7"/>
      <c r="V118" s="26"/>
      <c r="W118" s="26"/>
      <c r="X118" s="115"/>
      <c r="Y118" s="26"/>
      <c r="Z118" s="26"/>
      <c r="AA118" s="26"/>
      <c r="AB118" s="26"/>
      <c r="AC118" s="26"/>
      <c r="AD118" s="26"/>
      <c r="AE118" s="26"/>
    </row>
    <row r="119" spans="1:31" ht="13.2" x14ac:dyDescent="0.25">
      <c r="A119" s="12"/>
      <c r="B119" s="16"/>
      <c r="C119" s="16"/>
      <c r="D119" s="12"/>
      <c r="E119" s="12"/>
      <c r="F119" s="11"/>
      <c r="G119" s="11"/>
      <c r="H119" s="11"/>
      <c r="I119" s="11"/>
      <c r="J119" s="11"/>
      <c r="K119" s="11"/>
      <c r="L119" s="12"/>
      <c r="M119" s="12"/>
      <c r="N119" s="6"/>
      <c r="O119" s="7"/>
      <c r="P119" s="7"/>
      <c r="Q119" s="7"/>
      <c r="R119" s="7"/>
      <c r="S119" s="7"/>
      <c r="T119" s="7"/>
      <c r="U119" s="7"/>
      <c r="V119" s="26"/>
      <c r="W119" s="26"/>
      <c r="X119" s="115"/>
      <c r="Y119" s="26"/>
      <c r="Z119" s="26"/>
      <c r="AA119" s="26"/>
      <c r="AB119" s="26"/>
      <c r="AC119" s="26"/>
      <c r="AD119" s="26"/>
      <c r="AE119" s="26"/>
    </row>
    <row r="120" spans="1:31" ht="13.2" x14ac:dyDescent="0.25">
      <c r="A120" s="12"/>
      <c r="B120" s="12"/>
      <c r="C120" s="12"/>
      <c r="D120" s="12"/>
      <c r="E120" s="12"/>
      <c r="F120" s="11"/>
      <c r="G120" s="11"/>
      <c r="H120" s="11"/>
      <c r="I120" s="11"/>
      <c r="J120" s="11"/>
      <c r="K120" s="11"/>
      <c r="L120" s="12"/>
      <c r="M120" s="12"/>
      <c r="N120" s="6"/>
      <c r="O120" s="7"/>
      <c r="P120" s="7"/>
      <c r="Q120" s="7"/>
      <c r="R120" s="7"/>
      <c r="S120" s="7"/>
      <c r="T120" s="7"/>
      <c r="U120" s="7"/>
      <c r="V120" s="26"/>
      <c r="W120" s="26"/>
      <c r="X120" s="115"/>
      <c r="Y120" s="26"/>
      <c r="Z120" s="26"/>
      <c r="AA120" s="26"/>
      <c r="AB120" s="26"/>
      <c r="AC120" s="26"/>
      <c r="AD120" s="26"/>
      <c r="AE120" s="26"/>
    </row>
    <row r="121" spans="1:31" ht="13.2" x14ac:dyDescent="0.25">
      <c r="A121" s="12"/>
      <c r="B121" s="12"/>
      <c r="C121" s="12"/>
      <c r="D121" s="12"/>
      <c r="E121" s="12"/>
      <c r="F121" s="11"/>
      <c r="G121" s="11"/>
      <c r="H121" s="11"/>
      <c r="I121" s="11"/>
      <c r="J121" s="11"/>
      <c r="K121" s="11"/>
      <c r="L121" s="12"/>
      <c r="M121" s="12"/>
      <c r="N121" s="6"/>
      <c r="O121" s="7"/>
      <c r="P121" s="7"/>
      <c r="Q121" s="7"/>
      <c r="R121" s="7"/>
      <c r="S121" s="7"/>
      <c r="T121" s="7"/>
      <c r="U121" s="7"/>
      <c r="V121" s="26"/>
      <c r="W121" s="26"/>
      <c r="X121" s="115"/>
      <c r="Y121" s="26"/>
      <c r="Z121" s="26"/>
      <c r="AA121" s="26"/>
      <c r="AB121" s="26"/>
      <c r="AC121" s="26"/>
      <c r="AD121" s="26"/>
      <c r="AE121" s="26"/>
    </row>
    <row r="122" spans="1:31" ht="13.2" x14ac:dyDescent="0.25">
      <c r="A122" s="12"/>
      <c r="B122" s="12"/>
      <c r="C122" s="12"/>
      <c r="D122" s="12"/>
      <c r="E122" s="12"/>
      <c r="F122" s="11"/>
      <c r="G122" s="11"/>
      <c r="H122" s="11"/>
      <c r="I122" s="11"/>
      <c r="J122" s="11"/>
      <c r="K122" s="11"/>
      <c r="L122" s="12"/>
      <c r="M122" s="12"/>
      <c r="N122" s="6"/>
      <c r="O122" s="7"/>
      <c r="P122" s="7"/>
      <c r="Q122" s="7"/>
      <c r="R122" s="7"/>
      <c r="S122" s="7"/>
      <c r="T122" s="7"/>
      <c r="U122" s="7"/>
      <c r="V122" s="26"/>
      <c r="W122" s="26"/>
      <c r="X122" s="115"/>
      <c r="Y122" s="26"/>
      <c r="Z122" s="26"/>
      <c r="AA122" s="26"/>
      <c r="AB122" s="26"/>
      <c r="AC122" s="26"/>
      <c r="AD122" s="26"/>
      <c r="AE122" s="26"/>
    </row>
    <row r="123" spans="1:31" ht="13.2" x14ac:dyDescent="0.25">
      <c r="A123" s="12"/>
      <c r="B123" s="12"/>
      <c r="C123" s="12"/>
      <c r="D123" s="12"/>
      <c r="E123" s="12"/>
      <c r="F123" s="11"/>
      <c r="G123" s="11"/>
      <c r="H123" s="11"/>
      <c r="I123" s="11"/>
      <c r="J123" s="11"/>
      <c r="K123" s="11"/>
      <c r="L123" s="12"/>
      <c r="M123" s="12"/>
      <c r="N123" s="6"/>
      <c r="O123" s="7"/>
      <c r="P123" s="7"/>
      <c r="Q123" s="7"/>
      <c r="R123" s="7"/>
      <c r="S123" s="7"/>
      <c r="T123" s="7"/>
      <c r="U123" s="7"/>
      <c r="V123" s="26"/>
      <c r="W123" s="26"/>
      <c r="X123" s="115"/>
      <c r="Y123" s="26"/>
      <c r="Z123" s="26"/>
      <c r="AA123" s="26"/>
      <c r="AB123" s="26"/>
      <c r="AC123" s="26"/>
      <c r="AD123" s="26"/>
      <c r="AE123" s="26"/>
    </row>
    <row r="124" spans="1:31" ht="13.2" x14ac:dyDescent="0.25">
      <c r="A124" s="12"/>
      <c r="B124" s="12"/>
      <c r="C124" s="12"/>
      <c r="D124" s="12"/>
      <c r="E124" s="12"/>
      <c r="F124" s="11"/>
      <c r="G124" s="11"/>
      <c r="H124" s="11"/>
      <c r="I124" s="11"/>
      <c r="J124" s="11"/>
      <c r="K124" s="11"/>
      <c r="L124" s="12"/>
      <c r="M124" s="12"/>
      <c r="N124" s="6"/>
      <c r="O124" s="7"/>
      <c r="P124" s="7"/>
      <c r="Q124" s="7"/>
      <c r="R124" s="7"/>
      <c r="S124" s="7"/>
      <c r="T124" s="7"/>
      <c r="U124" s="7"/>
      <c r="V124" s="26"/>
      <c r="W124" s="26"/>
      <c r="X124" s="115"/>
      <c r="Y124" s="26"/>
      <c r="Z124" s="26"/>
      <c r="AA124" s="26"/>
      <c r="AB124" s="26"/>
      <c r="AC124" s="26"/>
      <c r="AD124" s="26"/>
      <c r="AE124" s="26"/>
    </row>
    <row r="125" spans="1:31" ht="13.2" x14ac:dyDescent="0.25">
      <c r="A125" s="12"/>
      <c r="B125" s="12"/>
      <c r="C125" s="12"/>
      <c r="D125" s="12"/>
      <c r="E125" s="12"/>
      <c r="F125" s="11"/>
      <c r="G125" s="11"/>
      <c r="H125" s="11"/>
      <c r="I125" s="11"/>
      <c r="J125" s="11"/>
      <c r="K125" s="11"/>
      <c r="L125" s="12"/>
      <c r="M125" s="12"/>
      <c r="N125" s="6"/>
      <c r="O125" s="7"/>
      <c r="P125" s="7"/>
      <c r="Q125" s="7"/>
      <c r="R125" s="7"/>
      <c r="S125" s="7"/>
      <c r="T125" s="7"/>
      <c r="U125" s="7"/>
      <c r="V125" s="26"/>
      <c r="W125" s="26"/>
      <c r="X125" s="115"/>
      <c r="Y125" s="26"/>
      <c r="Z125" s="26"/>
      <c r="AA125" s="26"/>
      <c r="AB125" s="26"/>
      <c r="AC125" s="26"/>
      <c r="AD125" s="26"/>
      <c r="AE125" s="26"/>
    </row>
    <row r="126" spans="1:31" ht="13.2" x14ac:dyDescent="0.25">
      <c r="A126" s="12"/>
      <c r="B126" s="12"/>
      <c r="C126" s="12"/>
      <c r="D126" s="12"/>
      <c r="E126" s="12"/>
      <c r="F126" s="11"/>
      <c r="G126" s="11"/>
      <c r="H126" s="11"/>
      <c r="I126" s="11"/>
      <c r="J126" s="11"/>
      <c r="K126" s="11"/>
      <c r="L126" s="12"/>
      <c r="M126" s="12"/>
      <c r="N126" s="6"/>
      <c r="O126" s="7"/>
      <c r="P126" s="7"/>
      <c r="Q126" s="7"/>
      <c r="R126" s="7"/>
      <c r="S126" s="7"/>
      <c r="T126" s="7"/>
      <c r="U126" s="7"/>
      <c r="V126" s="26"/>
      <c r="W126" s="26"/>
      <c r="X126" s="115"/>
      <c r="Y126" s="26"/>
      <c r="Z126" s="26"/>
      <c r="AA126" s="26"/>
      <c r="AB126" s="26"/>
      <c r="AC126" s="26"/>
      <c r="AD126" s="26"/>
      <c r="AE126" s="26"/>
    </row>
    <row r="127" spans="1:31" ht="13.2" x14ac:dyDescent="0.25">
      <c r="A127" s="12"/>
      <c r="B127" s="12"/>
      <c r="C127" s="12"/>
      <c r="D127" s="12"/>
      <c r="E127" s="12"/>
      <c r="F127" s="11"/>
      <c r="G127" s="11"/>
      <c r="H127" s="11"/>
      <c r="I127" s="11"/>
      <c r="J127" s="11"/>
      <c r="K127" s="11"/>
      <c r="L127" s="12"/>
      <c r="M127" s="12"/>
      <c r="N127" s="6"/>
      <c r="O127" s="7"/>
      <c r="P127" s="7"/>
      <c r="Q127" s="7"/>
      <c r="R127" s="7"/>
      <c r="S127" s="7"/>
      <c r="T127" s="7"/>
      <c r="U127" s="7"/>
      <c r="V127" s="26"/>
      <c r="W127" s="26"/>
      <c r="X127" s="115"/>
      <c r="Y127" s="26"/>
      <c r="Z127" s="26"/>
      <c r="AA127" s="26"/>
      <c r="AB127" s="26"/>
      <c r="AC127" s="26"/>
      <c r="AD127" s="26"/>
      <c r="AE127" s="26"/>
    </row>
    <row r="128" spans="1:31" ht="13.2" x14ac:dyDescent="0.25">
      <c r="A128" s="12"/>
      <c r="B128" s="12"/>
      <c r="C128" s="12"/>
      <c r="D128" s="12"/>
      <c r="E128" s="12"/>
      <c r="F128" s="11"/>
      <c r="G128" s="11"/>
      <c r="H128" s="11"/>
      <c r="I128" s="11"/>
      <c r="J128" s="11"/>
      <c r="K128" s="11"/>
      <c r="L128" s="12"/>
      <c r="M128" s="12"/>
      <c r="N128" s="6"/>
      <c r="O128" s="7"/>
      <c r="P128" s="7"/>
      <c r="Q128" s="7"/>
      <c r="R128" s="7"/>
      <c r="S128" s="7"/>
      <c r="T128" s="7"/>
      <c r="U128" s="7"/>
      <c r="V128" s="26"/>
      <c r="W128" s="26"/>
      <c r="X128" s="115"/>
      <c r="Y128" s="26"/>
      <c r="Z128" s="26"/>
      <c r="AA128" s="26"/>
      <c r="AB128" s="26"/>
      <c r="AC128" s="26"/>
      <c r="AD128" s="26"/>
      <c r="AE128" s="26"/>
    </row>
    <row r="129" spans="1:31" ht="13.2" x14ac:dyDescent="0.25">
      <c r="A129" s="12"/>
      <c r="B129" s="12"/>
      <c r="C129" s="12"/>
      <c r="D129" s="12"/>
      <c r="E129" s="12"/>
      <c r="F129" s="11"/>
      <c r="G129" s="11"/>
      <c r="H129" s="11"/>
      <c r="I129" s="11"/>
      <c r="J129" s="11"/>
      <c r="K129" s="11"/>
      <c r="L129" s="12"/>
      <c r="M129" s="12"/>
      <c r="N129" s="6"/>
      <c r="O129" s="7"/>
      <c r="P129" s="7"/>
      <c r="Q129" s="7"/>
      <c r="R129" s="7"/>
      <c r="S129" s="7"/>
      <c r="T129" s="7"/>
      <c r="U129" s="7"/>
      <c r="V129" s="26"/>
      <c r="W129" s="26"/>
      <c r="X129" s="115"/>
      <c r="Y129" s="26"/>
      <c r="Z129" s="26"/>
      <c r="AA129" s="26"/>
      <c r="AB129" s="26"/>
      <c r="AC129" s="26"/>
      <c r="AD129" s="26"/>
      <c r="AE129" s="26"/>
    </row>
    <row r="130" spans="1:31" ht="13.2" x14ac:dyDescent="0.25">
      <c r="A130" s="12"/>
      <c r="B130" s="12"/>
      <c r="C130" s="12"/>
      <c r="D130" s="12"/>
      <c r="E130" s="12"/>
      <c r="F130" s="11"/>
      <c r="G130" s="11"/>
      <c r="H130" s="11"/>
      <c r="I130" s="11"/>
      <c r="J130" s="11"/>
      <c r="K130" s="11"/>
      <c r="L130" s="12"/>
      <c r="M130" s="12"/>
      <c r="N130" s="6"/>
      <c r="O130" s="7"/>
      <c r="P130" s="7"/>
      <c r="Q130" s="7"/>
      <c r="R130" s="7"/>
      <c r="S130" s="7"/>
      <c r="T130" s="7"/>
      <c r="U130" s="7"/>
      <c r="V130" s="26"/>
      <c r="W130" s="26"/>
      <c r="X130" s="115"/>
      <c r="Y130" s="26"/>
      <c r="Z130" s="26"/>
      <c r="AA130" s="26"/>
      <c r="AB130" s="26"/>
      <c r="AC130" s="26"/>
      <c r="AD130" s="26"/>
      <c r="AE130" s="26"/>
    </row>
    <row r="131" spans="1:31" ht="13.2" x14ac:dyDescent="0.25">
      <c r="A131" s="12"/>
      <c r="B131" s="12"/>
      <c r="C131" s="12"/>
      <c r="D131" s="12"/>
      <c r="E131" s="12"/>
      <c r="F131" s="11"/>
      <c r="G131" s="11"/>
      <c r="H131" s="11"/>
      <c r="I131" s="11"/>
      <c r="J131" s="11"/>
      <c r="K131" s="11"/>
      <c r="L131" s="12"/>
      <c r="M131" s="12"/>
      <c r="N131" s="6"/>
      <c r="O131" s="7"/>
      <c r="P131" s="7"/>
      <c r="Q131" s="7"/>
      <c r="R131" s="7"/>
      <c r="S131" s="7"/>
      <c r="T131" s="7"/>
      <c r="U131" s="7"/>
      <c r="V131" s="26"/>
      <c r="W131" s="26"/>
      <c r="X131" s="115"/>
      <c r="Y131" s="26"/>
      <c r="Z131" s="26"/>
      <c r="AA131" s="26"/>
      <c r="AB131" s="26"/>
      <c r="AC131" s="26"/>
      <c r="AD131" s="26"/>
      <c r="AE131" s="26"/>
    </row>
    <row r="132" spans="1:31" ht="13.2" x14ac:dyDescent="0.25">
      <c r="A132" s="12"/>
      <c r="B132" s="12"/>
      <c r="C132" s="12"/>
      <c r="D132" s="12"/>
      <c r="E132" s="12"/>
      <c r="F132" s="11"/>
      <c r="G132" s="11"/>
      <c r="H132" s="11"/>
      <c r="I132" s="11"/>
      <c r="J132" s="11"/>
      <c r="K132" s="11"/>
      <c r="L132" s="12"/>
      <c r="M132" s="12"/>
      <c r="N132" s="6"/>
      <c r="O132" s="7"/>
      <c r="P132" s="7"/>
      <c r="Q132" s="7"/>
      <c r="R132" s="7"/>
      <c r="S132" s="7"/>
      <c r="T132" s="7"/>
      <c r="U132" s="7"/>
      <c r="V132" s="26"/>
      <c r="W132" s="26"/>
      <c r="X132" s="115"/>
      <c r="Y132" s="26"/>
      <c r="Z132" s="26"/>
      <c r="AA132" s="26"/>
      <c r="AB132" s="26"/>
      <c r="AC132" s="26"/>
      <c r="AD132" s="26"/>
      <c r="AE132" s="26"/>
    </row>
    <row r="133" spans="1:31" ht="13.2" x14ac:dyDescent="0.25">
      <c r="A133" s="12"/>
      <c r="B133" s="12"/>
      <c r="C133" s="12"/>
      <c r="D133" s="12"/>
      <c r="E133" s="12"/>
      <c r="F133" s="11"/>
      <c r="G133" s="11"/>
      <c r="H133" s="11"/>
      <c r="I133" s="11"/>
      <c r="J133" s="11"/>
      <c r="K133" s="11"/>
      <c r="L133" s="12"/>
      <c r="M133" s="12"/>
      <c r="N133" s="6"/>
      <c r="O133" s="7"/>
      <c r="P133" s="7"/>
      <c r="Q133" s="7"/>
      <c r="R133" s="7"/>
      <c r="S133" s="7"/>
      <c r="T133" s="7"/>
      <c r="U133" s="7"/>
      <c r="V133" s="26"/>
      <c r="W133" s="26"/>
      <c r="X133" s="115"/>
      <c r="Y133" s="26"/>
      <c r="Z133" s="26"/>
      <c r="AA133" s="26"/>
      <c r="AB133" s="26"/>
      <c r="AC133" s="26"/>
      <c r="AD133" s="26"/>
      <c r="AE133" s="26"/>
    </row>
    <row r="134" spans="1:31" ht="13.2" x14ac:dyDescent="0.25">
      <c r="A134" s="12"/>
      <c r="B134" s="12"/>
      <c r="C134" s="12"/>
      <c r="D134" s="12"/>
      <c r="E134" s="12"/>
      <c r="F134" s="11"/>
      <c r="G134" s="11"/>
      <c r="H134" s="11"/>
      <c r="I134" s="11"/>
      <c r="J134" s="11"/>
      <c r="K134" s="11"/>
      <c r="L134" s="12"/>
      <c r="M134" s="12"/>
      <c r="N134" s="6"/>
      <c r="O134" s="7"/>
      <c r="P134" s="7"/>
      <c r="Q134" s="7"/>
      <c r="R134" s="7"/>
      <c r="S134" s="7"/>
      <c r="T134" s="7"/>
      <c r="U134" s="7"/>
      <c r="V134" s="26"/>
      <c r="W134" s="26"/>
      <c r="X134" s="115"/>
      <c r="Y134" s="26"/>
      <c r="Z134" s="26"/>
      <c r="AA134" s="26"/>
      <c r="AB134" s="26"/>
      <c r="AC134" s="26"/>
      <c r="AD134" s="26"/>
      <c r="AE134" s="26"/>
    </row>
    <row r="135" spans="1:31" ht="13.2" x14ac:dyDescent="0.25">
      <c r="A135" s="12"/>
      <c r="B135" s="12"/>
      <c r="C135" s="12"/>
      <c r="D135" s="12"/>
      <c r="E135" s="12"/>
      <c r="F135" s="11"/>
      <c r="G135" s="11"/>
      <c r="H135" s="11"/>
      <c r="I135" s="11"/>
      <c r="J135" s="11"/>
      <c r="K135" s="11"/>
      <c r="L135" s="12"/>
      <c r="M135" s="12"/>
      <c r="N135" s="6"/>
      <c r="O135" s="7"/>
      <c r="P135" s="7"/>
      <c r="Q135" s="7"/>
      <c r="R135" s="7"/>
      <c r="S135" s="7"/>
      <c r="T135" s="7"/>
      <c r="U135" s="7"/>
      <c r="V135" s="26"/>
      <c r="W135" s="26"/>
      <c r="X135" s="115"/>
      <c r="Y135" s="26"/>
      <c r="Z135" s="26"/>
      <c r="AA135" s="26"/>
      <c r="AB135" s="26"/>
      <c r="AC135" s="26"/>
      <c r="AD135" s="26"/>
      <c r="AE135" s="26"/>
    </row>
    <row r="136" spans="1:31" ht="13.2" x14ac:dyDescent="0.25">
      <c r="A136" s="12"/>
      <c r="B136" s="12"/>
      <c r="C136" s="12"/>
      <c r="D136" s="12"/>
      <c r="E136" s="12"/>
      <c r="F136" s="11"/>
      <c r="G136" s="11"/>
      <c r="H136" s="11"/>
      <c r="I136" s="11"/>
      <c r="J136" s="11"/>
      <c r="K136" s="11"/>
      <c r="L136" s="12"/>
      <c r="M136" s="12"/>
      <c r="N136" s="6"/>
      <c r="O136" s="7"/>
      <c r="P136" s="7"/>
      <c r="Q136" s="7"/>
      <c r="R136" s="7"/>
      <c r="S136" s="7"/>
      <c r="T136" s="7"/>
      <c r="U136" s="7"/>
      <c r="V136" s="26"/>
      <c r="W136" s="26"/>
      <c r="X136" s="115"/>
      <c r="Y136" s="26"/>
      <c r="Z136" s="26"/>
      <c r="AA136" s="26"/>
      <c r="AB136" s="26"/>
      <c r="AC136" s="26"/>
      <c r="AD136" s="26"/>
      <c r="AE136" s="26"/>
    </row>
    <row r="137" spans="1:31" ht="13.2" x14ac:dyDescent="0.25">
      <c r="A137" s="12"/>
      <c r="B137" s="12"/>
      <c r="C137" s="12"/>
      <c r="D137" s="12"/>
      <c r="E137" s="12"/>
      <c r="F137" s="11"/>
      <c r="G137" s="11"/>
      <c r="H137" s="11"/>
      <c r="I137" s="11"/>
      <c r="J137" s="11"/>
      <c r="K137" s="11"/>
      <c r="L137" s="12"/>
      <c r="M137" s="12"/>
      <c r="N137" s="6"/>
      <c r="O137" s="7"/>
      <c r="P137" s="7"/>
      <c r="Q137" s="7"/>
      <c r="R137" s="7"/>
      <c r="S137" s="7"/>
      <c r="T137" s="7"/>
      <c r="U137" s="7"/>
      <c r="V137" s="26"/>
      <c r="W137" s="26"/>
      <c r="X137" s="115"/>
      <c r="Y137" s="26"/>
      <c r="Z137" s="26"/>
      <c r="AA137" s="26"/>
      <c r="AB137" s="26"/>
      <c r="AC137" s="26"/>
      <c r="AD137" s="26"/>
      <c r="AE137" s="26"/>
    </row>
    <row r="138" spans="1:31" ht="13.2" x14ac:dyDescent="0.25">
      <c r="A138" s="12"/>
      <c r="B138" s="12"/>
      <c r="C138" s="12"/>
      <c r="D138" s="12"/>
      <c r="E138" s="12"/>
      <c r="F138" s="11"/>
      <c r="G138" s="11"/>
      <c r="H138" s="11"/>
      <c r="I138" s="11"/>
      <c r="J138" s="11"/>
      <c r="K138" s="11"/>
      <c r="L138" s="12"/>
      <c r="M138" s="12"/>
      <c r="N138" s="6"/>
      <c r="O138" s="7"/>
      <c r="P138" s="7"/>
      <c r="Q138" s="7"/>
      <c r="R138" s="7"/>
      <c r="S138" s="7"/>
      <c r="T138" s="7"/>
      <c r="U138" s="7"/>
      <c r="V138" s="26"/>
      <c r="W138" s="26"/>
      <c r="X138" s="115"/>
      <c r="Y138" s="26"/>
      <c r="Z138" s="26"/>
      <c r="AA138" s="26"/>
      <c r="AB138" s="26"/>
      <c r="AC138" s="26"/>
      <c r="AD138" s="26"/>
      <c r="AE138" s="26"/>
    </row>
    <row r="139" spans="1:31" ht="13.2" x14ac:dyDescent="0.25">
      <c r="A139" s="12"/>
      <c r="B139" s="12"/>
      <c r="C139" s="12"/>
      <c r="D139" s="12"/>
      <c r="E139" s="12"/>
      <c r="F139" s="11"/>
      <c r="G139" s="11"/>
      <c r="H139" s="11"/>
      <c r="I139" s="11"/>
      <c r="J139" s="11"/>
      <c r="K139" s="11"/>
      <c r="L139" s="12"/>
      <c r="M139" s="12"/>
      <c r="N139" s="6"/>
      <c r="O139" s="7"/>
      <c r="P139" s="7"/>
      <c r="Q139" s="7"/>
      <c r="R139" s="7"/>
      <c r="S139" s="7"/>
      <c r="T139" s="7"/>
      <c r="U139" s="7"/>
      <c r="V139" s="26"/>
      <c r="W139" s="26"/>
      <c r="X139" s="115"/>
      <c r="Y139" s="26"/>
      <c r="Z139" s="26"/>
      <c r="AA139" s="26"/>
      <c r="AB139" s="26"/>
      <c r="AC139" s="26"/>
      <c r="AD139" s="26"/>
      <c r="AE139" s="26"/>
    </row>
    <row r="140" spans="1:31" ht="13.2" x14ac:dyDescent="0.25">
      <c r="A140" s="12"/>
      <c r="B140" s="12"/>
      <c r="C140" s="12"/>
      <c r="D140" s="12"/>
      <c r="E140" s="12"/>
      <c r="F140" s="11"/>
      <c r="G140" s="11"/>
      <c r="H140" s="11"/>
      <c r="I140" s="11"/>
      <c r="J140" s="11"/>
      <c r="K140" s="11"/>
      <c r="L140" s="12"/>
      <c r="M140" s="12"/>
      <c r="N140" s="6"/>
      <c r="O140" s="7"/>
      <c r="P140" s="7"/>
      <c r="Q140" s="7"/>
      <c r="R140" s="7"/>
      <c r="S140" s="7"/>
      <c r="T140" s="7"/>
      <c r="U140" s="7"/>
      <c r="V140" s="26"/>
      <c r="W140" s="26"/>
      <c r="X140" s="115"/>
      <c r="Y140" s="26"/>
      <c r="Z140" s="26"/>
      <c r="AA140" s="26"/>
      <c r="AB140" s="26"/>
      <c r="AC140" s="26"/>
      <c r="AD140" s="26"/>
      <c r="AE140" s="26"/>
    </row>
    <row r="141" spans="1:31" ht="13.2" x14ac:dyDescent="0.25">
      <c r="A141" s="12"/>
      <c r="B141" s="12"/>
      <c r="C141" s="12"/>
      <c r="D141" s="12"/>
      <c r="E141" s="12"/>
      <c r="F141" s="11"/>
      <c r="G141" s="11"/>
      <c r="H141" s="11"/>
      <c r="I141" s="11"/>
      <c r="J141" s="11"/>
      <c r="K141" s="11"/>
      <c r="L141" s="12"/>
      <c r="M141" s="12"/>
      <c r="N141" s="6"/>
      <c r="O141" s="7"/>
      <c r="P141" s="7"/>
      <c r="Q141" s="7"/>
      <c r="R141" s="7"/>
      <c r="S141" s="7"/>
      <c r="T141" s="7"/>
      <c r="U141" s="7"/>
      <c r="V141" s="26"/>
      <c r="W141" s="26"/>
      <c r="X141" s="115"/>
      <c r="Y141" s="26"/>
      <c r="Z141" s="26"/>
      <c r="AA141" s="26"/>
      <c r="AB141" s="26"/>
      <c r="AC141" s="26"/>
      <c r="AD141" s="26"/>
      <c r="AE141" s="26"/>
    </row>
    <row r="142" spans="1:31" ht="13.2" x14ac:dyDescent="0.25">
      <c r="A142" s="12"/>
      <c r="B142" s="12"/>
      <c r="C142" s="12"/>
      <c r="D142" s="12"/>
      <c r="E142" s="12"/>
      <c r="F142" s="11"/>
      <c r="G142" s="11"/>
      <c r="H142" s="11"/>
      <c r="I142" s="11"/>
      <c r="J142" s="11"/>
      <c r="K142" s="11"/>
      <c r="L142" s="12"/>
      <c r="M142" s="12"/>
      <c r="N142" s="6"/>
      <c r="O142" s="7"/>
      <c r="P142" s="7"/>
      <c r="Q142" s="7"/>
      <c r="R142" s="7"/>
      <c r="S142" s="7"/>
      <c r="T142" s="7"/>
      <c r="U142" s="7"/>
      <c r="V142" s="26"/>
      <c r="W142" s="26"/>
      <c r="X142" s="115"/>
      <c r="Y142" s="26"/>
      <c r="Z142" s="26"/>
      <c r="AA142" s="26"/>
      <c r="AB142" s="26"/>
      <c r="AC142" s="26"/>
      <c r="AD142" s="26"/>
      <c r="AE142" s="26"/>
    </row>
    <row r="143" spans="1:31" ht="13.2" x14ac:dyDescent="0.25">
      <c r="A143" s="12"/>
      <c r="B143" s="12"/>
      <c r="C143" s="12"/>
      <c r="D143" s="12"/>
      <c r="E143" s="12"/>
      <c r="F143" s="11"/>
      <c r="G143" s="11"/>
      <c r="H143" s="11"/>
      <c r="I143" s="11"/>
      <c r="J143" s="11"/>
      <c r="K143" s="11"/>
      <c r="L143" s="12"/>
      <c r="M143" s="12"/>
      <c r="N143" s="6"/>
      <c r="O143" s="7"/>
      <c r="P143" s="7"/>
      <c r="Q143" s="7"/>
      <c r="R143" s="7"/>
      <c r="S143" s="7"/>
      <c r="T143" s="7"/>
      <c r="U143" s="7"/>
      <c r="V143" s="26"/>
      <c r="W143" s="26"/>
      <c r="X143" s="115"/>
      <c r="Y143" s="26"/>
      <c r="Z143" s="26"/>
      <c r="AA143" s="26"/>
      <c r="AB143" s="26"/>
      <c r="AC143" s="26"/>
      <c r="AD143" s="26"/>
      <c r="AE143" s="26"/>
    </row>
    <row r="144" spans="1:31" ht="13.2" x14ac:dyDescent="0.25">
      <c r="A144" s="12"/>
      <c r="B144" s="12"/>
      <c r="C144" s="12"/>
      <c r="D144" s="12"/>
      <c r="E144" s="12"/>
      <c r="F144" s="11"/>
      <c r="G144" s="11"/>
      <c r="H144" s="11"/>
      <c r="I144" s="11"/>
      <c r="J144" s="11"/>
      <c r="K144" s="11"/>
      <c r="L144" s="12"/>
      <c r="M144" s="12"/>
      <c r="N144" s="6"/>
      <c r="O144" s="7"/>
      <c r="P144" s="7"/>
      <c r="Q144" s="7"/>
      <c r="R144" s="7"/>
      <c r="S144" s="7"/>
      <c r="T144" s="7"/>
      <c r="U144" s="7"/>
      <c r="V144" s="26"/>
      <c r="W144" s="26"/>
      <c r="X144" s="115"/>
      <c r="Y144" s="26"/>
      <c r="Z144" s="26"/>
      <c r="AA144" s="26"/>
      <c r="AB144" s="26"/>
      <c r="AC144" s="26"/>
      <c r="AD144" s="26"/>
      <c r="AE144" s="26"/>
    </row>
    <row r="145" spans="1:31" ht="13.2" x14ac:dyDescent="0.25">
      <c r="A145" s="12"/>
      <c r="B145" s="12"/>
      <c r="C145" s="12"/>
      <c r="D145" s="12"/>
      <c r="E145" s="12"/>
      <c r="F145" s="11"/>
      <c r="G145" s="11"/>
      <c r="H145" s="11"/>
      <c r="I145" s="11"/>
      <c r="J145" s="11"/>
      <c r="K145" s="11"/>
      <c r="L145" s="12"/>
      <c r="M145" s="12"/>
      <c r="N145" s="6"/>
      <c r="O145" s="7"/>
      <c r="P145" s="7"/>
      <c r="Q145" s="7"/>
      <c r="R145" s="7"/>
      <c r="S145" s="7"/>
      <c r="T145" s="7"/>
      <c r="U145" s="7"/>
      <c r="V145" s="26"/>
      <c r="W145" s="26"/>
      <c r="X145" s="115"/>
      <c r="Y145" s="26"/>
      <c r="Z145" s="26"/>
      <c r="AA145" s="26"/>
      <c r="AB145" s="26"/>
      <c r="AC145" s="26"/>
      <c r="AD145" s="26"/>
      <c r="AE145" s="26"/>
    </row>
    <row r="146" spans="1:31" ht="13.2" x14ac:dyDescent="0.25">
      <c r="A146" s="12"/>
      <c r="B146" s="12"/>
      <c r="C146" s="12"/>
      <c r="D146" s="12"/>
      <c r="E146" s="12"/>
      <c r="F146" s="11"/>
      <c r="G146" s="11"/>
      <c r="H146" s="11"/>
      <c r="I146" s="11"/>
      <c r="J146" s="11"/>
      <c r="K146" s="11"/>
      <c r="L146" s="12"/>
      <c r="M146" s="12"/>
      <c r="N146" s="6"/>
      <c r="O146" s="7"/>
      <c r="P146" s="7"/>
      <c r="Q146" s="7"/>
      <c r="R146" s="7"/>
      <c r="S146" s="7"/>
      <c r="T146" s="7"/>
      <c r="U146" s="7"/>
      <c r="V146" s="26"/>
      <c r="W146" s="26"/>
      <c r="X146" s="115"/>
      <c r="Y146" s="26"/>
      <c r="Z146" s="26"/>
      <c r="AA146" s="26"/>
      <c r="AB146" s="26"/>
      <c r="AC146" s="26"/>
      <c r="AD146" s="26"/>
      <c r="AE146" s="26"/>
    </row>
    <row r="147" spans="1:31" ht="13.2" x14ac:dyDescent="0.25">
      <c r="A147" s="12"/>
      <c r="B147" s="12"/>
      <c r="C147" s="12"/>
      <c r="D147" s="12"/>
      <c r="E147" s="12"/>
      <c r="F147" s="11"/>
      <c r="G147" s="11"/>
      <c r="H147" s="11"/>
      <c r="I147" s="11"/>
      <c r="J147" s="11"/>
      <c r="K147" s="11"/>
      <c r="L147" s="12"/>
      <c r="M147" s="12"/>
      <c r="N147" s="6"/>
      <c r="O147" s="7"/>
      <c r="P147" s="7"/>
      <c r="Q147" s="7"/>
      <c r="R147" s="7"/>
      <c r="S147" s="7"/>
      <c r="T147" s="7"/>
      <c r="U147" s="7"/>
      <c r="V147" s="26"/>
      <c r="W147" s="26"/>
      <c r="X147" s="115"/>
      <c r="Y147" s="26"/>
      <c r="Z147" s="26"/>
      <c r="AA147" s="26"/>
      <c r="AB147" s="26"/>
      <c r="AC147" s="26"/>
      <c r="AD147" s="26"/>
      <c r="AE147" s="26"/>
    </row>
    <row r="148" spans="1:31" ht="13.2" x14ac:dyDescent="0.25">
      <c r="A148" s="12"/>
      <c r="B148" s="12"/>
      <c r="C148" s="12"/>
      <c r="D148" s="12"/>
      <c r="E148" s="12"/>
      <c r="F148" s="11"/>
      <c r="G148" s="11"/>
      <c r="H148" s="11"/>
      <c r="I148" s="11"/>
      <c r="J148" s="11"/>
      <c r="K148" s="11"/>
      <c r="L148" s="12"/>
      <c r="M148" s="12"/>
      <c r="N148" s="6"/>
      <c r="O148" s="7"/>
      <c r="P148" s="7"/>
      <c r="Q148" s="7"/>
      <c r="R148" s="7"/>
      <c r="S148" s="7"/>
      <c r="T148" s="7"/>
      <c r="U148" s="7"/>
      <c r="V148" s="26"/>
      <c r="W148" s="26"/>
      <c r="X148" s="115"/>
      <c r="Y148" s="26"/>
      <c r="Z148" s="26"/>
      <c r="AA148" s="26"/>
      <c r="AB148" s="26"/>
      <c r="AC148" s="26"/>
      <c r="AD148" s="26"/>
      <c r="AE148" s="26"/>
    </row>
    <row r="149" spans="1:31" ht="13.2" x14ac:dyDescent="0.25">
      <c r="A149" s="12"/>
      <c r="B149" s="12"/>
      <c r="C149" s="12"/>
      <c r="D149" s="12"/>
      <c r="E149" s="12"/>
      <c r="F149" s="11"/>
      <c r="G149" s="11"/>
      <c r="H149" s="11"/>
      <c r="I149" s="11"/>
      <c r="J149" s="11"/>
      <c r="K149" s="11"/>
      <c r="L149" s="12"/>
      <c r="M149" s="12"/>
      <c r="N149" s="6"/>
      <c r="O149" s="7"/>
      <c r="P149" s="7"/>
      <c r="Q149" s="7"/>
      <c r="R149" s="7"/>
      <c r="S149" s="7"/>
      <c r="T149" s="7"/>
      <c r="U149" s="7"/>
      <c r="V149" s="26"/>
      <c r="W149" s="26"/>
      <c r="X149" s="115"/>
      <c r="Y149" s="26"/>
      <c r="Z149" s="26"/>
      <c r="AA149" s="26"/>
      <c r="AB149" s="26"/>
      <c r="AC149" s="26"/>
      <c r="AD149" s="26"/>
      <c r="AE149" s="26"/>
    </row>
    <row r="150" spans="1:31" ht="13.2" x14ac:dyDescent="0.25">
      <c r="A150" s="12"/>
      <c r="B150" s="12"/>
      <c r="C150" s="12"/>
      <c r="D150" s="12"/>
      <c r="E150" s="12"/>
      <c r="F150" s="11"/>
      <c r="G150" s="11"/>
      <c r="H150" s="11"/>
      <c r="I150" s="11"/>
      <c r="J150" s="11"/>
      <c r="K150" s="11"/>
      <c r="L150" s="12"/>
      <c r="M150" s="12"/>
      <c r="N150" s="6"/>
      <c r="O150" s="7"/>
      <c r="P150" s="7"/>
      <c r="Q150" s="7"/>
      <c r="R150" s="7"/>
      <c r="S150" s="7"/>
      <c r="T150" s="7"/>
      <c r="U150" s="7"/>
      <c r="V150" s="26"/>
      <c r="W150" s="26"/>
      <c r="X150" s="115"/>
      <c r="Y150" s="26"/>
      <c r="Z150" s="26"/>
      <c r="AA150" s="26"/>
      <c r="AB150" s="26"/>
      <c r="AC150" s="26"/>
      <c r="AD150" s="26"/>
      <c r="AE150" s="26"/>
    </row>
    <row r="151" spans="1:31" ht="13.2" x14ac:dyDescent="0.25">
      <c r="A151" s="12"/>
      <c r="B151" s="12"/>
      <c r="C151" s="12"/>
      <c r="D151" s="12"/>
      <c r="E151" s="12"/>
      <c r="F151" s="11"/>
      <c r="G151" s="11"/>
      <c r="H151" s="11"/>
      <c r="I151" s="11"/>
      <c r="J151" s="11"/>
      <c r="K151" s="11"/>
      <c r="L151" s="12"/>
      <c r="M151" s="12"/>
      <c r="N151" s="6"/>
      <c r="O151" s="7"/>
      <c r="P151" s="7"/>
      <c r="Q151" s="7"/>
      <c r="R151" s="7"/>
      <c r="S151" s="7"/>
      <c r="T151" s="7"/>
      <c r="U151" s="7"/>
      <c r="V151" s="26"/>
      <c r="W151" s="26"/>
      <c r="X151" s="115"/>
      <c r="Y151" s="26"/>
      <c r="Z151" s="26"/>
      <c r="AA151" s="26"/>
      <c r="AB151" s="26"/>
      <c r="AC151" s="26"/>
      <c r="AD151" s="26"/>
      <c r="AE151" s="26"/>
    </row>
    <row r="152" spans="1:31" ht="13.2" x14ac:dyDescent="0.25">
      <c r="A152" s="12"/>
      <c r="B152" s="12"/>
      <c r="C152" s="12"/>
      <c r="D152" s="12"/>
      <c r="E152" s="12"/>
      <c r="F152" s="11"/>
      <c r="G152" s="11"/>
      <c r="H152" s="11"/>
      <c r="I152" s="11"/>
      <c r="J152" s="11"/>
      <c r="K152" s="11"/>
      <c r="L152" s="12"/>
      <c r="M152" s="12"/>
      <c r="N152" s="6"/>
      <c r="O152" s="7"/>
      <c r="P152" s="7"/>
      <c r="Q152" s="7"/>
      <c r="R152" s="7"/>
      <c r="S152" s="7"/>
      <c r="T152" s="7"/>
      <c r="U152" s="7"/>
      <c r="V152" s="26"/>
      <c r="W152" s="26"/>
      <c r="X152" s="115"/>
      <c r="Y152" s="26"/>
      <c r="Z152" s="26"/>
      <c r="AA152" s="26"/>
      <c r="AB152" s="26"/>
      <c r="AC152" s="26"/>
      <c r="AD152" s="26"/>
      <c r="AE152" s="26"/>
    </row>
    <row r="153" spans="1:31" ht="13.2" x14ac:dyDescent="0.25">
      <c r="A153" s="12"/>
      <c r="B153" s="12"/>
      <c r="C153" s="12"/>
      <c r="D153" s="12"/>
      <c r="E153" s="12"/>
      <c r="F153" s="11"/>
      <c r="G153" s="11"/>
      <c r="H153" s="11"/>
      <c r="I153" s="11"/>
      <c r="J153" s="11"/>
      <c r="K153" s="11"/>
      <c r="L153" s="12"/>
      <c r="M153" s="12"/>
      <c r="N153" s="6"/>
      <c r="O153" s="7"/>
      <c r="P153" s="7"/>
      <c r="Q153" s="7"/>
      <c r="R153" s="7"/>
      <c r="S153" s="7"/>
      <c r="T153" s="7"/>
      <c r="U153" s="7"/>
      <c r="V153" s="26"/>
      <c r="W153" s="26"/>
      <c r="X153" s="115"/>
      <c r="Y153" s="26"/>
      <c r="Z153" s="26"/>
      <c r="AA153" s="26"/>
      <c r="AB153" s="26"/>
      <c r="AC153" s="26"/>
      <c r="AD153" s="26"/>
      <c r="AE153" s="26"/>
    </row>
    <row r="154" spans="1:31" ht="13.2" x14ac:dyDescent="0.25">
      <c r="A154" s="12"/>
      <c r="B154" s="12"/>
      <c r="C154" s="12"/>
      <c r="D154" s="12"/>
      <c r="E154" s="12"/>
      <c r="F154" s="11"/>
      <c r="G154" s="11"/>
      <c r="H154" s="11"/>
      <c r="I154" s="11"/>
      <c r="J154" s="11"/>
      <c r="K154" s="11"/>
      <c r="L154" s="12"/>
      <c r="M154" s="12"/>
      <c r="N154" s="6"/>
      <c r="O154" s="7"/>
      <c r="P154" s="7"/>
      <c r="Q154" s="7"/>
      <c r="R154" s="7"/>
      <c r="S154" s="7"/>
      <c r="T154" s="7"/>
      <c r="U154" s="7"/>
      <c r="V154" s="26"/>
      <c r="W154" s="26"/>
      <c r="X154" s="115"/>
      <c r="Y154" s="26"/>
      <c r="Z154" s="26"/>
      <c r="AA154" s="26"/>
      <c r="AB154" s="26"/>
      <c r="AC154" s="26"/>
      <c r="AD154" s="26"/>
      <c r="AE154" s="26"/>
    </row>
    <row r="155" spans="1:31" ht="13.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K155" s="12"/>
      <c r="L155" s="12"/>
      <c r="M155" s="12"/>
      <c r="N155" s="6"/>
      <c r="X155" s="120"/>
    </row>
    <row r="156" spans="1:31" ht="13.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K156" s="12"/>
      <c r="L156" s="12"/>
      <c r="M156" s="12"/>
      <c r="N156" s="6"/>
      <c r="X156" s="120"/>
    </row>
    <row r="157" spans="1:31" ht="13.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K157" s="12"/>
      <c r="L157" s="12"/>
      <c r="M157" s="12"/>
      <c r="N157" s="6"/>
      <c r="X157" s="120"/>
    </row>
    <row r="158" spans="1:31" ht="13.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K158" s="12"/>
      <c r="L158" s="12"/>
      <c r="M158" s="12"/>
      <c r="N158" s="6"/>
      <c r="X158" s="120"/>
    </row>
    <row r="159" spans="1:31" ht="13.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K159" s="12"/>
      <c r="L159" s="12"/>
      <c r="M159" s="12"/>
      <c r="N159" s="6"/>
      <c r="X159" s="120"/>
    </row>
    <row r="160" spans="1:31" ht="13.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K160" s="12"/>
      <c r="L160" s="12"/>
      <c r="M160" s="12"/>
      <c r="N160" s="6"/>
      <c r="X160" s="120"/>
    </row>
    <row r="161" spans="1:24" ht="13.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K161" s="12"/>
      <c r="L161" s="12"/>
      <c r="M161" s="12"/>
      <c r="N161" s="6"/>
      <c r="X161" s="120"/>
    </row>
    <row r="162" spans="1:24" ht="13.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K162" s="12"/>
      <c r="L162" s="12"/>
      <c r="M162" s="12"/>
      <c r="N162" s="6"/>
      <c r="X162" s="120"/>
    </row>
    <row r="163" spans="1:24" ht="13.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K163" s="12"/>
      <c r="L163" s="12"/>
      <c r="M163" s="12"/>
      <c r="N163" s="6"/>
      <c r="X163" s="120"/>
    </row>
    <row r="164" spans="1:24" ht="13.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K164" s="12"/>
      <c r="L164" s="12"/>
      <c r="M164" s="12"/>
      <c r="N164" s="6"/>
      <c r="X164" s="120"/>
    </row>
    <row r="165" spans="1:24" ht="13.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K165" s="12"/>
      <c r="L165" s="12"/>
      <c r="M165" s="12"/>
      <c r="N165" s="6"/>
      <c r="X165" s="120"/>
    </row>
    <row r="166" spans="1:24" ht="13.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K166" s="12"/>
      <c r="L166" s="12"/>
      <c r="M166" s="12"/>
      <c r="N166" s="6"/>
      <c r="X166" s="120"/>
    </row>
    <row r="167" spans="1:24" ht="13.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K167" s="12"/>
      <c r="L167" s="12"/>
      <c r="M167" s="12"/>
      <c r="N167" s="6"/>
      <c r="X167" s="120"/>
    </row>
    <row r="168" spans="1:24" ht="13.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K168" s="12"/>
      <c r="L168" s="12"/>
      <c r="M168" s="12"/>
      <c r="N168" s="6"/>
      <c r="X168" s="120"/>
    </row>
    <row r="169" spans="1:24" ht="13.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K169" s="12"/>
      <c r="L169" s="12"/>
      <c r="M169" s="12"/>
      <c r="N169" s="6"/>
      <c r="X169" s="120"/>
    </row>
    <row r="170" spans="1:24" ht="13.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K170" s="12"/>
      <c r="L170" s="12"/>
      <c r="M170" s="12"/>
      <c r="N170" s="6"/>
      <c r="X170" s="120"/>
    </row>
    <row r="171" spans="1:24" ht="13.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K171" s="12"/>
      <c r="L171" s="12"/>
      <c r="M171" s="12"/>
      <c r="N171" s="6"/>
      <c r="X171" s="120"/>
    </row>
    <row r="172" spans="1:24" ht="13.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K172" s="12"/>
      <c r="L172" s="12"/>
      <c r="M172" s="12"/>
      <c r="N172" s="6"/>
      <c r="X172" s="120"/>
    </row>
    <row r="173" spans="1:24" ht="13.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K173" s="12"/>
      <c r="L173" s="12"/>
      <c r="M173" s="12"/>
      <c r="N173" s="6"/>
      <c r="X173" s="120"/>
    </row>
    <row r="174" spans="1:24" ht="13.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K174" s="12"/>
      <c r="L174" s="12"/>
      <c r="M174" s="12"/>
      <c r="N174" s="6"/>
      <c r="X174" s="120"/>
    </row>
    <row r="175" spans="1:24" ht="13.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K175" s="12"/>
      <c r="L175" s="12"/>
      <c r="M175" s="12"/>
      <c r="N175" s="6"/>
      <c r="X175" s="120"/>
    </row>
    <row r="176" spans="1:24" ht="13.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K176" s="12"/>
      <c r="L176" s="12"/>
      <c r="M176" s="12"/>
      <c r="N176" s="6"/>
      <c r="X176" s="120"/>
    </row>
    <row r="177" spans="1:24" ht="13.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K177" s="12"/>
      <c r="L177" s="12"/>
      <c r="M177" s="12"/>
      <c r="N177" s="6"/>
      <c r="X177" s="120"/>
    </row>
    <row r="178" spans="1:24" ht="13.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K178" s="12"/>
      <c r="L178" s="12"/>
      <c r="M178" s="12"/>
      <c r="N178" s="6"/>
      <c r="X178" s="120"/>
    </row>
    <row r="179" spans="1:24" ht="13.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K179" s="12"/>
      <c r="L179" s="12"/>
      <c r="M179" s="12"/>
      <c r="N179" s="6"/>
      <c r="X179" s="120"/>
    </row>
    <row r="180" spans="1:24" ht="13.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K180" s="12"/>
      <c r="L180" s="12"/>
      <c r="M180" s="12"/>
      <c r="N180" s="6"/>
      <c r="X180" s="120"/>
    </row>
    <row r="181" spans="1:24" ht="13.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K181" s="12"/>
      <c r="L181" s="12"/>
      <c r="M181" s="12"/>
      <c r="N181" s="6"/>
      <c r="X181" s="120"/>
    </row>
    <row r="182" spans="1:24" ht="13.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K182" s="12"/>
      <c r="L182" s="12"/>
      <c r="M182" s="12"/>
      <c r="N182" s="6"/>
      <c r="X182" s="120"/>
    </row>
    <row r="183" spans="1:24" ht="13.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K183" s="12"/>
      <c r="L183" s="12"/>
      <c r="M183" s="12"/>
      <c r="N183" s="6"/>
      <c r="X183" s="120"/>
    </row>
    <row r="184" spans="1:24" ht="13.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K184" s="12"/>
      <c r="L184" s="12"/>
      <c r="M184" s="12"/>
      <c r="N184" s="6"/>
      <c r="X184" s="120"/>
    </row>
    <row r="185" spans="1:24" ht="13.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K185" s="12"/>
      <c r="L185" s="12"/>
      <c r="M185" s="12"/>
      <c r="N185" s="6"/>
      <c r="X185" s="120"/>
    </row>
    <row r="186" spans="1:24" ht="13.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K186" s="12"/>
      <c r="L186" s="12"/>
      <c r="M186" s="12"/>
      <c r="N186" s="6"/>
      <c r="X186" s="120"/>
    </row>
    <row r="187" spans="1:24" ht="13.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K187" s="12"/>
      <c r="L187" s="12"/>
      <c r="M187" s="12"/>
      <c r="N187" s="6"/>
      <c r="X187" s="120"/>
    </row>
    <row r="188" spans="1:24" ht="13.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K188" s="12"/>
      <c r="L188" s="12"/>
      <c r="M188" s="12"/>
      <c r="N188" s="6"/>
      <c r="X188" s="120"/>
    </row>
    <row r="189" spans="1:24" ht="13.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K189" s="12"/>
      <c r="L189" s="12"/>
      <c r="M189" s="12"/>
      <c r="N189" s="6"/>
      <c r="X189" s="120"/>
    </row>
    <row r="190" spans="1:24" ht="13.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K190" s="12"/>
      <c r="L190" s="12"/>
      <c r="M190" s="12"/>
      <c r="N190" s="6"/>
      <c r="X190" s="120"/>
    </row>
    <row r="191" spans="1:24" ht="13.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K191" s="12"/>
      <c r="L191" s="12"/>
      <c r="M191" s="12"/>
      <c r="N191" s="6"/>
      <c r="X191" s="120"/>
    </row>
    <row r="192" spans="1:24" ht="13.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K192" s="12"/>
      <c r="L192" s="12"/>
      <c r="M192" s="12"/>
      <c r="N192" s="6"/>
      <c r="X192" s="120"/>
    </row>
    <row r="193" spans="1:24" ht="13.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K193" s="12"/>
      <c r="L193" s="12"/>
      <c r="M193" s="12"/>
      <c r="N193" s="6"/>
      <c r="X193" s="120"/>
    </row>
    <row r="194" spans="1:24" ht="13.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K194" s="12"/>
      <c r="L194" s="12"/>
      <c r="M194" s="12"/>
      <c r="N194" s="6"/>
      <c r="X194" s="120"/>
    </row>
    <row r="195" spans="1:24" ht="13.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K195" s="12"/>
      <c r="L195" s="12"/>
      <c r="M195" s="12"/>
      <c r="N195" s="6"/>
      <c r="X195" s="120"/>
    </row>
    <row r="196" spans="1:24" ht="13.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K196" s="12"/>
      <c r="L196" s="12"/>
      <c r="M196" s="12"/>
      <c r="N196" s="6"/>
      <c r="X196" s="120"/>
    </row>
    <row r="197" spans="1:24" ht="13.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K197" s="12"/>
      <c r="L197" s="12"/>
      <c r="M197" s="12"/>
      <c r="N197" s="6"/>
      <c r="X197" s="120"/>
    </row>
    <row r="198" spans="1:24" ht="13.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K198" s="12"/>
      <c r="L198" s="12"/>
      <c r="M198" s="12"/>
      <c r="N198" s="6"/>
      <c r="X198" s="120"/>
    </row>
    <row r="199" spans="1:24" ht="13.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K199" s="12"/>
      <c r="L199" s="12"/>
      <c r="M199" s="12"/>
      <c r="N199" s="6"/>
      <c r="X199" s="120"/>
    </row>
    <row r="200" spans="1:24" ht="13.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K200" s="12"/>
      <c r="L200" s="12"/>
      <c r="M200" s="12"/>
      <c r="N200" s="6"/>
      <c r="X200" s="120"/>
    </row>
    <row r="201" spans="1:24" ht="13.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K201" s="12"/>
      <c r="L201" s="12"/>
      <c r="M201" s="12"/>
      <c r="N201" s="6"/>
      <c r="X201" s="120"/>
    </row>
    <row r="202" spans="1:24" ht="13.2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K202" s="12"/>
      <c r="L202" s="12"/>
      <c r="M202" s="12"/>
      <c r="N202" s="6"/>
      <c r="X202" s="120"/>
    </row>
    <row r="203" spans="1:24" ht="13.2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K203" s="12"/>
      <c r="L203" s="12"/>
      <c r="M203" s="12"/>
      <c r="N203" s="6"/>
      <c r="X203" s="120"/>
    </row>
    <row r="204" spans="1:24" ht="13.2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K204" s="12"/>
      <c r="L204" s="12"/>
      <c r="M204" s="12"/>
      <c r="N204" s="6"/>
      <c r="X204" s="120"/>
    </row>
    <row r="205" spans="1:24" ht="13.2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K205" s="12"/>
      <c r="L205" s="12"/>
      <c r="M205" s="12"/>
      <c r="N205" s="6"/>
      <c r="X205" s="120"/>
    </row>
    <row r="206" spans="1:24" ht="13.2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K206" s="12"/>
      <c r="L206" s="12"/>
      <c r="M206" s="12"/>
      <c r="N206" s="6"/>
      <c r="X206" s="120"/>
    </row>
    <row r="207" spans="1:24" ht="13.2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K207" s="12"/>
      <c r="L207" s="12"/>
      <c r="M207" s="12"/>
      <c r="N207" s="6"/>
      <c r="X207" s="120"/>
    </row>
    <row r="208" spans="1:24" ht="13.2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K208" s="12"/>
      <c r="L208" s="12"/>
      <c r="M208" s="12"/>
      <c r="N208" s="6"/>
      <c r="X208" s="120"/>
    </row>
    <row r="209" spans="1:24" ht="13.2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K209" s="12"/>
      <c r="L209" s="12"/>
      <c r="M209" s="12"/>
      <c r="N209" s="6"/>
      <c r="X209" s="120"/>
    </row>
    <row r="210" spans="1:24" ht="13.2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K210" s="12"/>
      <c r="L210" s="12"/>
      <c r="M210" s="12"/>
      <c r="N210" s="6"/>
      <c r="X210" s="120"/>
    </row>
    <row r="211" spans="1:24" ht="13.2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K211" s="12"/>
      <c r="L211" s="12"/>
      <c r="M211" s="12"/>
      <c r="N211" s="6"/>
      <c r="X211" s="120"/>
    </row>
    <row r="212" spans="1:24" ht="13.2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K212" s="12"/>
      <c r="L212" s="12"/>
      <c r="M212" s="12"/>
      <c r="N212" s="6"/>
      <c r="X212" s="120"/>
    </row>
    <row r="213" spans="1:24" ht="13.2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K213" s="12"/>
      <c r="L213" s="12"/>
      <c r="M213" s="12"/>
      <c r="N213" s="6"/>
      <c r="X213" s="120"/>
    </row>
    <row r="214" spans="1:24" ht="13.2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K214" s="12"/>
      <c r="L214" s="12"/>
      <c r="M214" s="12"/>
      <c r="N214" s="6"/>
      <c r="X214" s="120"/>
    </row>
    <row r="215" spans="1:24" ht="13.2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K215" s="12"/>
      <c r="L215" s="12"/>
      <c r="M215" s="12"/>
      <c r="N215" s="6"/>
      <c r="X215" s="120"/>
    </row>
    <row r="216" spans="1:24" ht="13.2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K216" s="12"/>
      <c r="L216" s="12"/>
      <c r="M216" s="12"/>
      <c r="N216" s="6"/>
      <c r="X216" s="120"/>
    </row>
    <row r="217" spans="1:24" ht="13.2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K217" s="12"/>
      <c r="L217" s="12"/>
      <c r="M217" s="12"/>
      <c r="N217" s="6"/>
      <c r="X217" s="120"/>
    </row>
    <row r="218" spans="1:24" ht="13.2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K218" s="12"/>
      <c r="L218" s="12"/>
      <c r="M218" s="12"/>
      <c r="N218" s="6"/>
      <c r="X218" s="120"/>
    </row>
    <row r="219" spans="1:24" ht="13.2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K219" s="12"/>
      <c r="L219" s="12"/>
      <c r="M219" s="12"/>
      <c r="N219" s="6"/>
      <c r="X219" s="120"/>
    </row>
    <row r="220" spans="1:24" ht="13.2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K220" s="12"/>
      <c r="L220" s="12"/>
      <c r="M220" s="12"/>
      <c r="N220" s="6"/>
      <c r="X220" s="120"/>
    </row>
    <row r="221" spans="1:24" ht="13.2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K221" s="12"/>
      <c r="L221" s="12"/>
      <c r="M221" s="12"/>
      <c r="N221" s="6"/>
      <c r="X221" s="120"/>
    </row>
    <row r="222" spans="1:24" ht="13.2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K222" s="12"/>
      <c r="L222" s="12"/>
      <c r="M222" s="12"/>
      <c r="N222" s="6"/>
      <c r="X222" s="120"/>
    </row>
    <row r="223" spans="1:24" ht="13.2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K223" s="12"/>
      <c r="L223" s="12"/>
      <c r="M223" s="12"/>
      <c r="N223" s="6"/>
      <c r="X223" s="120"/>
    </row>
    <row r="224" spans="1:24" ht="13.2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K224" s="12"/>
      <c r="L224" s="12"/>
      <c r="M224" s="12"/>
      <c r="N224" s="6"/>
      <c r="X224" s="120"/>
    </row>
    <row r="225" spans="1:24" ht="13.2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K225" s="12"/>
      <c r="L225" s="12"/>
      <c r="M225" s="12"/>
      <c r="N225" s="6"/>
      <c r="X225" s="120"/>
    </row>
    <row r="226" spans="1:24" ht="13.2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K226" s="12"/>
      <c r="L226" s="12"/>
      <c r="M226" s="12"/>
      <c r="N226" s="6"/>
      <c r="X226" s="120"/>
    </row>
    <row r="227" spans="1:24" ht="13.2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K227" s="12"/>
      <c r="L227" s="12"/>
      <c r="M227" s="12"/>
      <c r="N227" s="6"/>
      <c r="X227" s="120"/>
    </row>
    <row r="228" spans="1:24" ht="13.2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K228" s="12"/>
      <c r="L228" s="12"/>
      <c r="M228" s="12"/>
      <c r="N228" s="6"/>
      <c r="X228" s="120"/>
    </row>
    <row r="229" spans="1:24" ht="13.2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K229" s="12"/>
      <c r="L229" s="12"/>
      <c r="M229" s="12"/>
      <c r="N229" s="6"/>
      <c r="X229" s="120"/>
    </row>
    <row r="230" spans="1:24" ht="13.2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K230" s="12"/>
      <c r="L230" s="12"/>
      <c r="M230" s="12"/>
      <c r="N230" s="6"/>
      <c r="X230" s="120"/>
    </row>
    <row r="231" spans="1:24" ht="13.2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K231" s="12"/>
      <c r="L231" s="12"/>
      <c r="M231" s="12"/>
      <c r="N231" s="6"/>
      <c r="X231" s="120"/>
    </row>
    <row r="232" spans="1:24" ht="13.2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K232" s="12"/>
      <c r="L232" s="12"/>
      <c r="M232" s="12"/>
      <c r="N232" s="6"/>
      <c r="X232" s="120"/>
    </row>
    <row r="233" spans="1:24" ht="13.2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K233" s="12"/>
      <c r="L233" s="12"/>
      <c r="M233" s="12"/>
      <c r="N233" s="6"/>
      <c r="X233" s="120"/>
    </row>
    <row r="234" spans="1:24" ht="13.2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K234" s="12"/>
      <c r="L234" s="12"/>
      <c r="M234" s="12"/>
      <c r="N234" s="6"/>
      <c r="X234" s="120"/>
    </row>
    <row r="235" spans="1:24" ht="13.2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K235" s="12"/>
      <c r="L235" s="12"/>
      <c r="M235" s="12"/>
      <c r="N235" s="6"/>
      <c r="X235" s="120"/>
    </row>
    <row r="236" spans="1:24" ht="13.2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K236" s="12"/>
      <c r="L236" s="12"/>
      <c r="M236" s="12"/>
      <c r="N236" s="6"/>
      <c r="X236" s="120"/>
    </row>
    <row r="237" spans="1:24" ht="13.2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K237" s="12"/>
      <c r="L237" s="12"/>
      <c r="M237" s="12"/>
      <c r="N237" s="6"/>
      <c r="X237" s="120"/>
    </row>
    <row r="238" spans="1:24" ht="13.2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K238" s="12"/>
      <c r="L238" s="12"/>
      <c r="M238" s="12"/>
      <c r="N238" s="6"/>
      <c r="X238" s="120"/>
    </row>
    <row r="239" spans="1:24" ht="13.2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K239" s="12"/>
      <c r="L239" s="12"/>
      <c r="M239" s="12"/>
      <c r="N239" s="6"/>
      <c r="X239" s="120"/>
    </row>
    <row r="240" spans="1:24" ht="13.2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K240" s="12"/>
      <c r="L240" s="12"/>
      <c r="M240" s="12"/>
      <c r="N240" s="6"/>
      <c r="X240" s="120"/>
    </row>
    <row r="241" spans="1:24" ht="13.2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K241" s="12"/>
      <c r="L241" s="12"/>
      <c r="M241" s="12"/>
      <c r="N241" s="6"/>
      <c r="X241" s="120"/>
    </row>
    <row r="242" spans="1:24" ht="13.2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K242" s="12"/>
      <c r="L242" s="12"/>
      <c r="M242" s="12"/>
      <c r="N242" s="6"/>
      <c r="X242" s="120"/>
    </row>
    <row r="243" spans="1:24" ht="13.2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K243" s="12"/>
      <c r="L243" s="12"/>
      <c r="M243" s="12"/>
      <c r="N243" s="6"/>
      <c r="X243" s="120"/>
    </row>
    <row r="244" spans="1:24" ht="13.2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K244" s="12"/>
      <c r="L244" s="12"/>
      <c r="M244" s="12"/>
      <c r="N244" s="6"/>
      <c r="X244" s="120"/>
    </row>
    <row r="245" spans="1:24" ht="13.2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K245" s="12"/>
      <c r="L245" s="12"/>
      <c r="M245" s="12"/>
      <c r="N245" s="6"/>
      <c r="X245" s="120"/>
    </row>
    <row r="246" spans="1:24" ht="13.2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K246" s="12"/>
      <c r="L246" s="12"/>
      <c r="M246" s="12"/>
      <c r="N246" s="6"/>
      <c r="X246" s="120"/>
    </row>
    <row r="247" spans="1:24" ht="13.2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K247" s="12"/>
      <c r="L247" s="12"/>
      <c r="M247" s="12"/>
      <c r="N247" s="6"/>
      <c r="X247" s="120"/>
    </row>
    <row r="248" spans="1:24" ht="13.2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K248" s="12"/>
      <c r="L248" s="12"/>
      <c r="M248" s="12"/>
      <c r="N248" s="6"/>
      <c r="X248" s="120"/>
    </row>
    <row r="249" spans="1:24" ht="13.2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K249" s="12"/>
      <c r="L249" s="12"/>
      <c r="M249" s="12"/>
      <c r="N249" s="6"/>
      <c r="X249" s="120"/>
    </row>
    <row r="250" spans="1:24" ht="13.2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K250" s="12"/>
      <c r="L250" s="12"/>
      <c r="M250" s="12"/>
      <c r="N250" s="6"/>
      <c r="X250" s="120"/>
    </row>
    <row r="251" spans="1:24" ht="13.2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K251" s="12"/>
      <c r="L251" s="12"/>
      <c r="M251" s="12"/>
      <c r="N251" s="6"/>
      <c r="X251" s="120"/>
    </row>
    <row r="252" spans="1:24" ht="13.2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K252" s="12"/>
      <c r="L252" s="12"/>
      <c r="M252" s="12"/>
      <c r="N252" s="6"/>
      <c r="X252" s="120"/>
    </row>
    <row r="253" spans="1:24" ht="13.2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K253" s="12"/>
      <c r="L253" s="12"/>
      <c r="M253" s="12"/>
      <c r="N253" s="6"/>
      <c r="X253" s="120"/>
    </row>
    <row r="254" spans="1:24" ht="13.2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K254" s="12"/>
      <c r="L254" s="12"/>
      <c r="M254" s="12"/>
      <c r="N254" s="6"/>
      <c r="X254" s="120"/>
    </row>
    <row r="255" spans="1:24" ht="13.2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K255" s="12"/>
      <c r="L255" s="12"/>
      <c r="M255" s="12"/>
      <c r="N255" s="6"/>
      <c r="X255" s="120"/>
    </row>
    <row r="256" spans="1:24" ht="13.2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K256" s="12"/>
      <c r="L256" s="12"/>
      <c r="M256" s="12"/>
      <c r="N256" s="6"/>
      <c r="X256" s="120"/>
    </row>
    <row r="257" spans="1:24" ht="13.2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K257" s="12"/>
      <c r="L257" s="12"/>
      <c r="M257" s="12"/>
      <c r="N257" s="6"/>
      <c r="X257" s="120"/>
    </row>
    <row r="258" spans="1:24" ht="13.2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K258" s="12"/>
      <c r="L258" s="12"/>
      <c r="M258" s="12"/>
      <c r="N258" s="6"/>
      <c r="X258" s="120"/>
    </row>
    <row r="259" spans="1:24" ht="13.2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K259" s="12"/>
      <c r="L259" s="12"/>
      <c r="M259" s="12"/>
      <c r="N259" s="6"/>
      <c r="X259" s="120"/>
    </row>
    <row r="260" spans="1:24" ht="13.2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K260" s="12"/>
      <c r="L260" s="12"/>
      <c r="M260" s="12"/>
      <c r="N260" s="6"/>
      <c r="X260" s="120"/>
    </row>
    <row r="261" spans="1:24" ht="13.2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K261" s="12"/>
      <c r="L261" s="12"/>
      <c r="M261" s="12"/>
      <c r="N261" s="6"/>
      <c r="X261" s="120"/>
    </row>
    <row r="262" spans="1:24" ht="13.2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K262" s="12"/>
      <c r="L262" s="12"/>
      <c r="M262" s="12"/>
      <c r="N262" s="6"/>
      <c r="X262" s="120"/>
    </row>
    <row r="263" spans="1:24" ht="13.2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K263" s="12"/>
      <c r="L263" s="12"/>
      <c r="M263" s="12"/>
      <c r="N263" s="6"/>
      <c r="X263" s="120"/>
    </row>
    <row r="264" spans="1:24" ht="13.2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K264" s="12"/>
      <c r="L264" s="12"/>
      <c r="M264" s="12"/>
      <c r="N264" s="6"/>
      <c r="X264" s="120"/>
    </row>
    <row r="265" spans="1:24" ht="13.2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K265" s="12"/>
      <c r="L265" s="12"/>
      <c r="M265" s="12"/>
      <c r="N265" s="6"/>
      <c r="X265" s="120"/>
    </row>
    <row r="266" spans="1:24" ht="13.2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K266" s="12"/>
      <c r="L266" s="12"/>
      <c r="M266" s="12"/>
      <c r="N266" s="6"/>
      <c r="X266" s="120"/>
    </row>
    <row r="267" spans="1:24" ht="13.2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K267" s="12"/>
      <c r="L267" s="12"/>
      <c r="M267" s="12"/>
      <c r="N267" s="6"/>
      <c r="X267" s="120"/>
    </row>
    <row r="268" spans="1:24" ht="13.2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K268" s="12"/>
      <c r="L268" s="12"/>
      <c r="M268" s="12"/>
      <c r="N268" s="6"/>
      <c r="X268" s="120"/>
    </row>
    <row r="269" spans="1:24" ht="13.2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K269" s="12"/>
      <c r="L269" s="12"/>
      <c r="M269" s="12"/>
      <c r="N269" s="6"/>
      <c r="X269" s="120"/>
    </row>
    <row r="270" spans="1:24" ht="13.2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K270" s="12"/>
      <c r="L270" s="12"/>
      <c r="M270" s="12"/>
      <c r="N270" s="6"/>
      <c r="X270" s="120"/>
    </row>
    <row r="271" spans="1:24" ht="13.2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K271" s="12"/>
      <c r="L271" s="12"/>
      <c r="M271" s="12"/>
      <c r="N271" s="6"/>
      <c r="X271" s="120"/>
    </row>
    <row r="272" spans="1:24" ht="13.2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K272" s="12"/>
      <c r="L272" s="12"/>
      <c r="M272" s="12"/>
      <c r="N272" s="6"/>
      <c r="X272" s="120"/>
    </row>
    <row r="273" spans="1:24" ht="13.2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K273" s="12"/>
      <c r="L273" s="12"/>
      <c r="M273" s="12"/>
      <c r="N273" s="6"/>
      <c r="X273" s="120"/>
    </row>
    <row r="274" spans="1:24" ht="13.2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K274" s="12"/>
      <c r="L274" s="12"/>
      <c r="M274" s="12"/>
      <c r="N274" s="6"/>
      <c r="X274" s="120"/>
    </row>
    <row r="275" spans="1:24" ht="13.2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K275" s="12"/>
      <c r="L275" s="12"/>
      <c r="M275" s="12"/>
      <c r="N275" s="6"/>
      <c r="X275" s="120"/>
    </row>
    <row r="276" spans="1:24" ht="13.2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K276" s="12"/>
      <c r="L276" s="12"/>
      <c r="M276" s="12"/>
      <c r="N276" s="6"/>
      <c r="X276" s="120"/>
    </row>
    <row r="277" spans="1:24" ht="13.2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K277" s="12"/>
      <c r="L277" s="12"/>
      <c r="M277" s="12"/>
      <c r="N277" s="6"/>
      <c r="X277" s="120"/>
    </row>
    <row r="278" spans="1:24" ht="13.2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K278" s="12"/>
      <c r="L278" s="12"/>
      <c r="M278" s="12"/>
      <c r="N278" s="6"/>
      <c r="X278" s="120"/>
    </row>
    <row r="279" spans="1:24" ht="13.2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K279" s="12"/>
      <c r="L279" s="12"/>
      <c r="M279" s="12"/>
      <c r="N279" s="6"/>
      <c r="X279" s="120"/>
    </row>
    <row r="280" spans="1:24" ht="13.2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K280" s="12"/>
      <c r="L280" s="12"/>
      <c r="M280" s="12"/>
      <c r="N280" s="6"/>
      <c r="X280" s="120"/>
    </row>
    <row r="281" spans="1:24" ht="13.2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K281" s="12"/>
      <c r="L281" s="12"/>
      <c r="M281" s="12"/>
      <c r="N281" s="6"/>
      <c r="X281" s="120"/>
    </row>
    <row r="282" spans="1:24" ht="13.2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K282" s="12"/>
      <c r="L282" s="12"/>
      <c r="M282" s="12"/>
      <c r="N282" s="6"/>
      <c r="X282" s="120"/>
    </row>
    <row r="283" spans="1:24" ht="13.2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K283" s="12"/>
      <c r="L283" s="12"/>
      <c r="M283" s="12"/>
      <c r="N283" s="6"/>
      <c r="X283" s="120"/>
    </row>
    <row r="284" spans="1:24" ht="13.2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K284" s="12"/>
      <c r="L284" s="12"/>
      <c r="M284" s="12"/>
      <c r="N284" s="6"/>
      <c r="X284" s="120"/>
    </row>
    <row r="285" spans="1:24" ht="13.2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K285" s="12"/>
      <c r="L285" s="12"/>
      <c r="M285" s="12"/>
      <c r="N285" s="6"/>
      <c r="X285" s="120"/>
    </row>
    <row r="286" spans="1:24" ht="13.2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K286" s="12"/>
      <c r="L286" s="12"/>
      <c r="M286" s="12"/>
      <c r="N286" s="6"/>
      <c r="X286" s="120"/>
    </row>
    <row r="287" spans="1:24" ht="13.2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K287" s="12"/>
      <c r="L287" s="12"/>
      <c r="M287" s="12"/>
      <c r="N287" s="6"/>
      <c r="X287" s="120"/>
    </row>
    <row r="288" spans="1:24" ht="13.2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K288" s="12"/>
      <c r="L288" s="12"/>
      <c r="M288" s="12"/>
      <c r="N288" s="6"/>
      <c r="X288" s="120"/>
    </row>
    <row r="289" spans="1:24" ht="13.2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K289" s="12"/>
      <c r="L289" s="12"/>
      <c r="M289" s="12"/>
      <c r="N289" s="6"/>
      <c r="X289" s="120"/>
    </row>
    <row r="290" spans="1:24" ht="13.2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K290" s="12"/>
      <c r="L290" s="12"/>
      <c r="M290" s="12"/>
      <c r="N290" s="6"/>
      <c r="X290" s="120"/>
    </row>
    <row r="291" spans="1:24" ht="13.2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K291" s="12"/>
      <c r="L291" s="12"/>
      <c r="M291" s="12"/>
      <c r="N291" s="6"/>
      <c r="X291" s="120"/>
    </row>
    <row r="292" spans="1:24" ht="13.2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K292" s="12"/>
      <c r="L292" s="12"/>
      <c r="M292" s="12"/>
      <c r="N292" s="6"/>
      <c r="X292" s="120"/>
    </row>
    <row r="293" spans="1:24" ht="13.2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K293" s="12"/>
      <c r="L293" s="12"/>
      <c r="M293" s="12"/>
      <c r="N293" s="6"/>
      <c r="X293" s="120"/>
    </row>
    <row r="294" spans="1:24" ht="13.2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K294" s="12"/>
      <c r="L294" s="12"/>
      <c r="M294" s="12"/>
      <c r="N294" s="6"/>
      <c r="X294" s="120"/>
    </row>
    <row r="295" spans="1:24" ht="13.2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K295" s="12"/>
      <c r="L295" s="12"/>
      <c r="M295" s="12"/>
      <c r="N295" s="6"/>
      <c r="X295" s="120"/>
    </row>
    <row r="296" spans="1:24" ht="13.2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K296" s="12"/>
      <c r="L296" s="12"/>
      <c r="M296" s="12"/>
      <c r="N296" s="6"/>
      <c r="X296" s="120"/>
    </row>
    <row r="297" spans="1:24" ht="13.2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K297" s="12"/>
      <c r="L297" s="12"/>
      <c r="M297" s="12"/>
      <c r="N297" s="6"/>
      <c r="X297" s="120"/>
    </row>
    <row r="298" spans="1:24" ht="13.2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K298" s="12"/>
      <c r="L298" s="12"/>
      <c r="M298" s="12"/>
      <c r="N298" s="6"/>
      <c r="X298" s="120"/>
    </row>
    <row r="299" spans="1:24" ht="13.2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K299" s="12"/>
      <c r="L299" s="12"/>
      <c r="M299" s="12"/>
      <c r="N299" s="6"/>
      <c r="X299" s="120"/>
    </row>
    <row r="300" spans="1:24" ht="13.2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K300" s="12"/>
      <c r="L300" s="12"/>
      <c r="M300" s="12"/>
      <c r="N300" s="6"/>
      <c r="X300" s="120"/>
    </row>
    <row r="301" spans="1:24" ht="13.2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K301" s="12"/>
      <c r="L301" s="12"/>
      <c r="M301" s="12"/>
      <c r="N301" s="6"/>
      <c r="X301" s="120"/>
    </row>
    <row r="302" spans="1:24" ht="13.2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K302" s="12"/>
      <c r="L302" s="12"/>
      <c r="M302" s="12"/>
      <c r="N302" s="6"/>
      <c r="X302" s="120"/>
    </row>
    <row r="303" spans="1:24" ht="13.2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K303" s="12"/>
      <c r="L303" s="12"/>
      <c r="M303" s="12"/>
      <c r="N303" s="6"/>
      <c r="X303" s="120"/>
    </row>
    <row r="304" spans="1:24" ht="13.2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K304" s="12"/>
      <c r="L304" s="12"/>
      <c r="M304" s="12"/>
      <c r="N304" s="6"/>
      <c r="X304" s="120"/>
    </row>
    <row r="305" spans="1:24" ht="13.2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K305" s="12"/>
      <c r="L305" s="12"/>
      <c r="M305" s="12"/>
      <c r="N305" s="6"/>
      <c r="X305" s="120"/>
    </row>
    <row r="306" spans="1:24" ht="13.2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K306" s="12"/>
      <c r="L306" s="12"/>
      <c r="M306" s="12"/>
      <c r="N306" s="6"/>
      <c r="X306" s="120"/>
    </row>
    <row r="307" spans="1:24" ht="13.2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K307" s="12"/>
      <c r="L307" s="12"/>
      <c r="M307" s="12"/>
      <c r="N307" s="6"/>
      <c r="X307" s="120"/>
    </row>
    <row r="308" spans="1:24" ht="13.2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K308" s="12"/>
      <c r="L308" s="12"/>
      <c r="M308" s="12"/>
      <c r="N308" s="6"/>
      <c r="X308" s="120"/>
    </row>
    <row r="309" spans="1:24" ht="13.2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K309" s="12"/>
      <c r="L309" s="12"/>
      <c r="M309" s="12"/>
      <c r="N309" s="6"/>
      <c r="X309" s="120"/>
    </row>
    <row r="310" spans="1:24" ht="13.2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K310" s="12"/>
      <c r="L310" s="12"/>
      <c r="M310" s="12"/>
      <c r="N310" s="6"/>
      <c r="X310" s="120"/>
    </row>
    <row r="311" spans="1:24" ht="13.2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K311" s="12"/>
      <c r="L311" s="12"/>
      <c r="M311" s="12"/>
      <c r="N311" s="6"/>
      <c r="X311" s="120"/>
    </row>
    <row r="312" spans="1:24" ht="13.2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K312" s="12"/>
      <c r="L312" s="12"/>
      <c r="M312" s="12"/>
      <c r="N312" s="6"/>
      <c r="X312" s="120"/>
    </row>
    <row r="313" spans="1:24" ht="13.2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K313" s="12"/>
      <c r="L313" s="12"/>
      <c r="M313" s="12"/>
      <c r="N313" s="6"/>
      <c r="X313" s="120"/>
    </row>
    <row r="314" spans="1:24" ht="13.2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K314" s="12"/>
      <c r="L314" s="12"/>
      <c r="M314" s="12"/>
      <c r="N314" s="6"/>
      <c r="X314" s="120"/>
    </row>
    <row r="315" spans="1:24" ht="13.2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K315" s="12"/>
      <c r="L315" s="12"/>
      <c r="M315" s="12"/>
      <c r="N315" s="6"/>
      <c r="X315" s="120"/>
    </row>
    <row r="316" spans="1:24" ht="13.2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K316" s="12"/>
      <c r="L316" s="12"/>
      <c r="M316" s="12"/>
      <c r="N316" s="6"/>
      <c r="X316" s="120"/>
    </row>
    <row r="317" spans="1:24" ht="13.2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K317" s="12"/>
      <c r="L317" s="12"/>
      <c r="M317" s="12"/>
      <c r="N317" s="6"/>
      <c r="X317" s="120"/>
    </row>
    <row r="318" spans="1:24" ht="13.2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K318" s="12"/>
      <c r="L318" s="12"/>
      <c r="M318" s="12"/>
      <c r="N318" s="6"/>
      <c r="X318" s="120"/>
    </row>
    <row r="319" spans="1:24" ht="13.2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K319" s="12"/>
      <c r="L319" s="12"/>
      <c r="M319" s="12"/>
      <c r="N319" s="6"/>
      <c r="X319" s="120"/>
    </row>
    <row r="320" spans="1:24" ht="13.2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K320" s="12"/>
      <c r="L320" s="12"/>
      <c r="M320" s="12"/>
      <c r="N320" s="6"/>
      <c r="X320" s="120"/>
    </row>
    <row r="321" spans="1:24" ht="13.2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K321" s="12"/>
      <c r="L321" s="12"/>
      <c r="M321" s="12"/>
      <c r="N321" s="6"/>
      <c r="X321" s="120"/>
    </row>
    <row r="322" spans="1:24" ht="13.2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K322" s="12"/>
      <c r="L322" s="12"/>
      <c r="M322" s="12"/>
      <c r="N322" s="6"/>
      <c r="X322" s="120"/>
    </row>
    <row r="323" spans="1:24" ht="13.2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K323" s="12"/>
      <c r="L323" s="12"/>
      <c r="M323" s="12"/>
      <c r="N323" s="6"/>
      <c r="X323" s="120"/>
    </row>
    <row r="324" spans="1:24" ht="13.2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K324" s="12"/>
      <c r="L324" s="12"/>
      <c r="M324" s="12"/>
      <c r="N324" s="6"/>
      <c r="X324" s="120"/>
    </row>
    <row r="325" spans="1:24" ht="13.2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K325" s="12"/>
      <c r="L325" s="12"/>
      <c r="M325" s="12"/>
      <c r="N325" s="6"/>
      <c r="X325" s="120"/>
    </row>
    <row r="326" spans="1:24" ht="13.2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K326" s="12"/>
      <c r="L326" s="12"/>
      <c r="M326" s="12"/>
      <c r="N326" s="6"/>
      <c r="X326" s="120"/>
    </row>
    <row r="327" spans="1:24" ht="13.2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K327" s="12"/>
      <c r="L327" s="12"/>
      <c r="M327" s="12"/>
      <c r="N327" s="6"/>
      <c r="X327" s="120"/>
    </row>
    <row r="328" spans="1:24" ht="13.2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K328" s="12"/>
      <c r="L328" s="12"/>
      <c r="M328" s="12"/>
      <c r="N328" s="6"/>
      <c r="X328" s="120"/>
    </row>
    <row r="329" spans="1:24" ht="13.2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K329" s="12"/>
      <c r="L329" s="12"/>
      <c r="M329" s="12"/>
      <c r="N329" s="6"/>
      <c r="X329" s="120"/>
    </row>
    <row r="330" spans="1:24" ht="13.2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K330" s="12"/>
      <c r="L330" s="12"/>
      <c r="M330" s="12"/>
      <c r="N330" s="6"/>
      <c r="X330" s="120"/>
    </row>
    <row r="331" spans="1:24" ht="13.2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K331" s="12"/>
      <c r="L331" s="12"/>
      <c r="M331" s="12"/>
      <c r="N331" s="6"/>
      <c r="X331" s="120"/>
    </row>
    <row r="332" spans="1:24" ht="13.2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K332" s="12"/>
      <c r="L332" s="12"/>
      <c r="M332" s="12"/>
      <c r="N332" s="6"/>
      <c r="X332" s="120"/>
    </row>
    <row r="333" spans="1:24" ht="13.2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K333" s="12"/>
      <c r="L333" s="12"/>
      <c r="M333" s="12"/>
      <c r="N333" s="6"/>
      <c r="X333" s="120"/>
    </row>
    <row r="334" spans="1:24" ht="13.2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K334" s="12"/>
      <c r="L334" s="12"/>
      <c r="M334" s="12"/>
      <c r="N334" s="6"/>
      <c r="X334" s="120"/>
    </row>
    <row r="335" spans="1:24" ht="13.2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K335" s="12"/>
      <c r="L335" s="12"/>
      <c r="M335" s="12"/>
      <c r="N335" s="6"/>
      <c r="X335" s="120"/>
    </row>
    <row r="336" spans="1:24" ht="13.2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K336" s="12"/>
      <c r="L336" s="12"/>
      <c r="M336" s="12"/>
      <c r="N336" s="6"/>
      <c r="X336" s="120"/>
    </row>
    <row r="337" spans="1:24" ht="13.2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K337" s="12"/>
      <c r="L337" s="12"/>
      <c r="M337" s="12"/>
      <c r="N337" s="6"/>
      <c r="X337" s="120"/>
    </row>
    <row r="338" spans="1:24" ht="13.2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K338" s="12"/>
      <c r="L338" s="12"/>
      <c r="M338" s="12"/>
      <c r="N338" s="6"/>
      <c r="X338" s="120"/>
    </row>
    <row r="339" spans="1:24" ht="13.2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K339" s="12"/>
      <c r="L339" s="12"/>
      <c r="M339" s="12"/>
      <c r="N339" s="6"/>
      <c r="X339" s="120"/>
    </row>
    <row r="340" spans="1:24" ht="13.2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K340" s="12"/>
      <c r="L340" s="12"/>
      <c r="M340" s="12"/>
      <c r="N340" s="6"/>
      <c r="X340" s="120"/>
    </row>
    <row r="341" spans="1:24" ht="13.2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K341" s="12"/>
      <c r="L341" s="12"/>
      <c r="M341" s="12"/>
      <c r="N341" s="6"/>
      <c r="X341" s="120"/>
    </row>
    <row r="342" spans="1:24" ht="13.2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K342" s="12"/>
      <c r="L342" s="12"/>
      <c r="M342" s="12"/>
      <c r="N342" s="6"/>
      <c r="X342" s="120"/>
    </row>
    <row r="343" spans="1:24" ht="13.2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K343" s="12"/>
      <c r="L343" s="12"/>
      <c r="M343" s="12"/>
      <c r="N343" s="6"/>
      <c r="X343" s="120"/>
    </row>
    <row r="344" spans="1:24" ht="13.2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K344" s="12"/>
      <c r="L344" s="12"/>
      <c r="M344" s="12"/>
      <c r="N344" s="6"/>
      <c r="X344" s="120"/>
    </row>
    <row r="345" spans="1:24" ht="13.2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K345" s="12"/>
      <c r="L345" s="12"/>
      <c r="M345" s="12"/>
      <c r="N345" s="6"/>
      <c r="X345" s="120"/>
    </row>
    <row r="346" spans="1:24" ht="13.2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K346" s="12"/>
      <c r="L346" s="12"/>
      <c r="M346" s="12"/>
      <c r="N346" s="6"/>
      <c r="X346" s="120"/>
    </row>
    <row r="347" spans="1:24" ht="13.2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K347" s="12"/>
      <c r="L347" s="12"/>
      <c r="M347" s="12"/>
      <c r="N347" s="6"/>
      <c r="X347" s="120"/>
    </row>
    <row r="348" spans="1:24" ht="13.2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K348" s="12"/>
      <c r="L348" s="12"/>
      <c r="M348" s="12"/>
      <c r="N348" s="6"/>
      <c r="X348" s="120"/>
    </row>
    <row r="349" spans="1:24" ht="13.2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K349" s="12"/>
      <c r="L349" s="12"/>
      <c r="M349" s="12"/>
      <c r="N349" s="6"/>
      <c r="X349" s="120"/>
    </row>
    <row r="350" spans="1:24" ht="13.2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K350" s="12"/>
      <c r="L350" s="12"/>
      <c r="M350" s="12"/>
      <c r="N350" s="6"/>
      <c r="X350" s="120"/>
    </row>
    <row r="351" spans="1:24" ht="13.2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K351" s="12"/>
      <c r="L351" s="12"/>
      <c r="M351" s="12"/>
      <c r="N351" s="6"/>
      <c r="X351" s="120"/>
    </row>
    <row r="352" spans="1:24" ht="13.2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K352" s="12"/>
      <c r="L352" s="12"/>
      <c r="M352" s="12"/>
      <c r="N352" s="6"/>
      <c r="X352" s="120"/>
    </row>
    <row r="353" spans="1:24" ht="13.2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K353" s="12"/>
      <c r="L353" s="12"/>
      <c r="M353" s="12"/>
      <c r="N353" s="6"/>
      <c r="X353" s="120"/>
    </row>
    <row r="354" spans="1:24" ht="13.2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K354" s="12"/>
      <c r="L354" s="12"/>
      <c r="M354" s="12"/>
      <c r="N354" s="6"/>
      <c r="X354" s="120"/>
    </row>
    <row r="355" spans="1:24" ht="13.2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K355" s="12"/>
      <c r="L355" s="12"/>
      <c r="M355" s="12"/>
      <c r="N355" s="6"/>
      <c r="X355" s="120"/>
    </row>
    <row r="356" spans="1:24" ht="13.2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K356" s="12"/>
      <c r="L356" s="12"/>
      <c r="M356" s="12"/>
      <c r="N356" s="6"/>
      <c r="X356" s="120"/>
    </row>
    <row r="357" spans="1:24" ht="13.2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K357" s="12"/>
      <c r="L357" s="12"/>
      <c r="M357" s="12"/>
      <c r="N357" s="6"/>
      <c r="X357" s="120"/>
    </row>
    <row r="358" spans="1:24" ht="13.2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K358" s="12"/>
      <c r="L358" s="12"/>
      <c r="M358" s="12"/>
      <c r="N358" s="6"/>
      <c r="X358" s="120"/>
    </row>
    <row r="359" spans="1:24" ht="13.2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K359" s="12"/>
      <c r="L359" s="12"/>
      <c r="M359" s="12"/>
      <c r="N359" s="6"/>
      <c r="X359" s="120"/>
    </row>
    <row r="360" spans="1:24" ht="13.2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K360" s="12"/>
      <c r="L360" s="12"/>
      <c r="M360" s="12"/>
      <c r="N360" s="6"/>
      <c r="X360" s="120"/>
    </row>
    <row r="361" spans="1:24" ht="13.2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K361" s="12"/>
      <c r="L361" s="12"/>
      <c r="M361" s="12"/>
      <c r="N361" s="6"/>
      <c r="X361" s="120"/>
    </row>
    <row r="362" spans="1:24" ht="13.2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K362" s="12"/>
      <c r="L362" s="12"/>
      <c r="M362" s="12"/>
      <c r="N362" s="6"/>
      <c r="X362" s="120"/>
    </row>
    <row r="363" spans="1:24" ht="13.2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K363" s="12"/>
      <c r="L363" s="12"/>
      <c r="M363" s="12"/>
      <c r="N363" s="6"/>
      <c r="X363" s="120"/>
    </row>
    <row r="364" spans="1:24" ht="13.2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K364" s="12"/>
      <c r="L364" s="12"/>
      <c r="M364" s="12"/>
      <c r="N364" s="6"/>
      <c r="X364" s="120"/>
    </row>
    <row r="365" spans="1:24" ht="13.2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K365" s="12"/>
      <c r="L365" s="12"/>
      <c r="M365" s="12"/>
      <c r="N365" s="6"/>
      <c r="X365" s="120"/>
    </row>
    <row r="366" spans="1:24" ht="13.2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K366" s="12"/>
      <c r="L366" s="12"/>
      <c r="M366" s="12"/>
      <c r="N366" s="6"/>
      <c r="X366" s="120"/>
    </row>
    <row r="367" spans="1:24" ht="13.2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K367" s="12"/>
      <c r="L367" s="12"/>
      <c r="M367" s="12"/>
      <c r="N367" s="6"/>
      <c r="X367" s="120"/>
    </row>
    <row r="368" spans="1:24" ht="13.2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K368" s="12"/>
      <c r="L368" s="12"/>
      <c r="M368" s="12"/>
      <c r="N368" s="6"/>
      <c r="X368" s="120"/>
    </row>
    <row r="369" spans="1:24" ht="13.2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K369" s="12"/>
      <c r="L369" s="12"/>
      <c r="M369" s="12"/>
      <c r="N369" s="6"/>
      <c r="X369" s="120"/>
    </row>
    <row r="370" spans="1:24" ht="13.2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K370" s="12"/>
      <c r="L370" s="12"/>
      <c r="M370" s="12"/>
      <c r="N370" s="6"/>
      <c r="X370" s="120"/>
    </row>
    <row r="371" spans="1:24" ht="13.2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K371" s="12"/>
      <c r="L371" s="12"/>
      <c r="M371" s="12"/>
      <c r="N371" s="6"/>
      <c r="X371" s="120"/>
    </row>
    <row r="372" spans="1:24" ht="13.2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K372" s="12"/>
      <c r="L372" s="12"/>
      <c r="M372" s="12"/>
      <c r="N372" s="6"/>
      <c r="X372" s="120"/>
    </row>
    <row r="373" spans="1:24" ht="13.2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K373" s="12"/>
      <c r="L373" s="12"/>
      <c r="M373" s="12"/>
      <c r="N373" s="6"/>
      <c r="X373" s="120"/>
    </row>
    <row r="374" spans="1:24" ht="13.2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K374" s="12"/>
      <c r="L374" s="12"/>
      <c r="M374" s="12"/>
      <c r="N374" s="6"/>
      <c r="X374" s="120"/>
    </row>
    <row r="375" spans="1:24" ht="13.2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K375" s="12"/>
      <c r="L375" s="12"/>
      <c r="M375" s="12"/>
      <c r="N375" s="6"/>
      <c r="X375" s="120"/>
    </row>
    <row r="376" spans="1:24" ht="13.2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K376" s="12"/>
      <c r="L376" s="12"/>
      <c r="M376" s="12"/>
      <c r="N376" s="6"/>
      <c r="X376" s="120"/>
    </row>
    <row r="377" spans="1:24" ht="13.2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K377" s="12"/>
      <c r="L377" s="12"/>
      <c r="M377" s="12"/>
      <c r="N377" s="6"/>
      <c r="X377" s="120"/>
    </row>
    <row r="378" spans="1:24" ht="13.2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K378" s="12"/>
      <c r="L378" s="12"/>
      <c r="M378" s="12"/>
      <c r="N378" s="6"/>
      <c r="X378" s="120"/>
    </row>
    <row r="379" spans="1:24" ht="13.2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K379" s="12"/>
      <c r="L379" s="12"/>
      <c r="M379" s="12"/>
      <c r="N379" s="6"/>
      <c r="X379" s="120"/>
    </row>
    <row r="380" spans="1:24" ht="13.2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K380" s="12"/>
      <c r="L380" s="12"/>
      <c r="M380" s="12"/>
      <c r="N380" s="6"/>
      <c r="X380" s="120"/>
    </row>
    <row r="381" spans="1:24" ht="13.2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K381" s="12"/>
      <c r="L381" s="12"/>
      <c r="M381" s="12"/>
      <c r="N381" s="6"/>
      <c r="X381" s="120"/>
    </row>
    <row r="382" spans="1:24" ht="13.2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K382" s="12"/>
      <c r="L382" s="12"/>
      <c r="M382" s="12"/>
      <c r="N382" s="6"/>
      <c r="X382" s="120"/>
    </row>
    <row r="383" spans="1:24" ht="13.2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K383" s="12"/>
      <c r="L383" s="12"/>
      <c r="M383" s="12"/>
      <c r="N383" s="6"/>
      <c r="X383" s="120"/>
    </row>
    <row r="384" spans="1:24" ht="13.2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K384" s="12"/>
      <c r="L384" s="12"/>
      <c r="M384" s="12"/>
      <c r="N384" s="6"/>
      <c r="X384" s="120"/>
    </row>
    <row r="385" spans="1:24" ht="13.2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K385" s="12"/>
      <c r="L385" s="12"/>
      <c r="M385" s="12"/>
      <c r="N385" s="6"/>
      <c r="X385" s="120"/>
    </row>
    <row r="386" spans="1:24" ht="13.2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K386" s="12"/>
      <c r="L386" s="12"/>
      <c r="M386" s="12"/>
      <c r="N386" s="6"/>
      <c r="X386" s="120"/>
    </row>
    <row r="387" spans="1:24" ht="13.2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K387" s="12"/>
      <c r="L387" s="12"/>
      <c r="M387" s="12"/>
      <c r="N387" s="6"/>
      <c r="X387" s="120"/>
    </row>
    <row r="388" spans="1:24" ht="13.2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K388" s="12"/>
      <c r="L388" s="12"/>
      <c r="M388" s="12"/>
      <c r="N388" s="6"/>
      <c r="X388" s="120"/>
    </row>
    <row r="389" spans="1:24" ht="13.2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K389" s="12"/>
      <c r="L389" s="12"/>
      <c r="M389" s="12"/>
      <c r="N389" s="6"/>
      <c r="X389" s="120"/>
    </row>
    <row r="390" spans="1:24" ht="13.2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K390" s="12"/>
      <c r="L390" s="12"/>
      <c r="M390" s="12"/>
      <c r="N390" s="6"/>
      <c r="X390" s="120"/>
    </row>
    <row r="391" spans="1:24" ht="13.2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K391" s="12"/>
      <c r="L391" s="12"/>
      <c r="M391" s="12"/>
      <c r="N391" s="6"/>
      <c r="X391" s="120"/>
    </row>
    <row r="392" spans="1:24" ht="13.2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K392" s="12"/>
      <c r="L392" s="12"/>
      <c r="M392" s="12"/>
      <c r="N392" s="6"/>
      <c r="X392" s="120"/>
    </row>
    <row r="393" spans="1:24" ht="13.2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K393" s="12"/>
      <c r="L393" s="12"/>
      <c r="M393" s="12"/>
      <c r="N393" s="6"/>
      <c r="X393" s="120"/>
    </row>
    <row r="394" spans="1:24" ht="13.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K394" s="12"/>
      <c r="L394" s="12"/>
      <c r="M394" s="12"/>
      <c r="N394" s="6"/>
      <c r="X394" s="120"/>
    </row>
    <row r="395" spans="1:24" ht="13.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K395" s="12"/>
      <c r="L395" s="12"/>
      <c r="M395" s="12"/>
      <c r="N395" s="6"/>
      <c r="X395" s="120"/>
    </row>
    <row r="396" spans="1:24" ht="13.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K396" s="12"/>
      <c r="L396" s="12"/>
      <c r="M396" s="12"/>
      <c r="N396" s="6"/>
      <c r="X396" s="120"/>
    </row>
    <row r="397" spans="1:24" ht="13.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K397" s="12"/>
      <c r="L397" s="12"/>
      <c r="M397" s="12"/>
      <c r="N397" s="6"/>
      <c r="X397" s="120"/>
    </row>
    <row r="398" spans="1:24" ht="13.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K398" s="12"/>
      <c r="L398" s="12"/>
      <c r="M398" s="12"/>
      <c r="N398" s="6"/>
      <c r="X398" s="120"/>
    </row>
    <row r="399" spans="1:24" ht="13.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K399" s="12"/>
      <c r="L399" s="12"/>
      <c r="M399" s="12"/>
      <c r="N399" s="6"/>
      <c r="X399" s="120"/>
    </row>
    <row r="400" spans="1:24" ht="13.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K400" s="12"/>
      <c r="L400" s="12"/>
      <c r="M400" s="12"/>
      <c r="N400" s="6"/>
      <c r="X400" s="120"/>
    </row>
    <row r="401" spans="1:24" ht="13.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K401" s="12"/>
      <c r="L401" s="12"/>
      <c r="M401" s="12"/>
      <c r="N401" s="6"/>
      <c r="X401" s="120"/>
    </row>
    <row r="402" spans="1:24" ht="13.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K402" s="12"/>
      <c r="L402" s="12"/>
      <c r="M402" s="12"/>
      <c r="N402" s="6"/>
      <c r="X402" s="120"/>
    </row>
    <row r="403" spans="1:24" ht="13.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K403" s="12"/>
      <c r="L403" s="12"/>
      <c r="M403" s="12"/>
      <c r="N403" s="6"/>
      <c r="X403" s="120"/>
    </row>
    <row r="404" spans="1:24" ht="13.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K404" s="12"/>
      <c r="L404" s="12"/>
      <c r="M404" s="12"/>
      <c r="N404" s="6"/>
      <c r="X404" s="120"/>
    </row>
    <row r="405" spans="1:24" ht="13.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K405" s="12"/>
      <c r="L405" s="12"/>
      <c r="M405" s="12"/>
      <c r="N405" s="6"/>
      <c r="X405" s="120"/>
    </row>
    <row r="406" spans="1:24" ht="13.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K406" s="12"/>
      <c r="L406" s="12"/>
      <c r="M406" s="12"/>
      <c r="N406" s="6"/>
      <c r="X406" s="120"/>
    </row>
    <row r="407" spans="1:24" ht="13.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K407" s="12"/>
      <c r="L407" s="12"/>
      <c r="M407" s="12"/>
      <c r="N407" s="6"/>
      <c r="X407" s="120"/>
    </row>
    <row r="408" spans="1:24" ht="13.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K408" s="12"/>
      <c r="L408" s="12"/>
      <c r="M408" s="12"/>
      <c r="N408" s="6"/>
      <c r="X408" s="120"/>
    </row>
    <row r="409" spans="1:24" ht="13.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K409" s="12"/>
      <c r="L409" s="12"/>
      <c r="M409" s="12"/>
      <c r="N409" s="6"/>
      <c r="X409" s="120"/>
    </row>
    <row r="410" spans="1:24" ht="13.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K410" s="12"/>
      <c r="L410" s="12"/>
      <c r="M410" s="12"/>
      <c r="N410" s="6"/>
      <c r="X410" s="120"/>
    </row>
    <row r="411" spans="1:24" ht="13.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K411" s="12"/>
      <c r="L411" s="12"/>
      <c r="M411" s="12"/>
      <c r="N411" s="6"/>
      <c r="X411" s="120"/>
    </row>
    <row r="412" spans="1:24" ht="13.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K412" s="12"/>
      <c r="L412" s="12"/>
      <c r="M412" s="12"/>
      <c r="N412" s="6"/>
      <c r="X412" s="120"/>
    </row>
    <row r="413" spans="1:24" ht="13.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K413" s="12"/>
      <c r="L413" s="12"/>
      <c r="M413" s="12"/>
      <c r="N413" s="6"/>
      <c r="X413" s="120"/>
    </row>
    <row r="414" spans="1:24" ht="13.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K414" s="12"/>
      <c r="L414" s="12"/>
      <c r="M414" s="12"/>
      <c r="N414" s="6"/>
      <c r="X414" s="120"/>
    </row>
    <row r="415" spans="1:24" ht="13.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K415" s="12"/>
      <c r="L415" s="12"/>
      <c r="M415" s="12"/>
      <c r="N415" s="6"/>
      <c r="X415" s="120"/>
    </row>
    <row r="416" spans="1:24" ht="13.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K416" s="12"/>
      <c r="L416" s="12"/>
      <c r="M416" s="12"/>
      <c r="N416" s="6"/>
      <c r="X416" s="120"/>
    </row>
    <row r="417" spans="1:24" ht="13.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K417" s="12"/>
      <c r="L417" s="12"/>
      <c r="M417" s="12"/>
      <c r="N417" s="6"/>
      <c r="X417" s="120"/>
    </row>
    <row r="418" spans="1:24" ht="13.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K418" s="12"/>
      <c r="L418" s="12"/>
      <c r="M418" s="12"/>
      <c r="N418" s="6"/>
      <c r="X418" s="120"/>
    </row>
    <row r="419" spans="1:24" ht="13.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K419" s="12"/>
      <c r="L419" s="12"/>
      <c r="M419" s="12"/>
      <c r="N419" s="6"/>
      <c r="X419" s="120"/>
    </row>
    <row r="420" spans="1:24" ht="13.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K420" s="12"/>
      <c r="L420" s="12"/>
      <c r="M420" s="12"/>
      <c r="N420" s="6"/>
      <c r="X420" s="120"/>
    </row>
    <row r="421" spans="1:24" ht="13.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K421" s="12"/>
      <c r="L421" s="12"/>
      <c r="M421" s="12"/>
      <c r="N421" s="6"/>
      <c r="X421" s="120"/>
    </row>
    <row r="422" spans="1:24" ht="13.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K422" s="12"/>
      <c r="L422" s="12"/>
      <c r="M422" s="12"/>
      <c r="N422" s="6"/>
      <c r="X422" s="120"/>
    </row>
    <row r="423" spans="1:24" ht="13.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K423" s="12"/>
      <c r="L423" s="12"/>
      <c r="M423" s="12"/>
      <c r="N423" s="6"/>
      <c r="X423" s="120"/>
    </row>
    <row r="424" spans="1:24" ht="13.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K424" s="12"/>
      <c r="L424" s="12"/>
      <c r="M424" s="12"/>
      <c r="N424" s="6"/>
      <c r="X424" s="120"/>
    </row>
    <row r="425" spans="1:24" ht="13.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K425" s="12"/>
      <c r="L425" s="12"/>
      <c r="M425" s="12"/>
      <c r="N425" s="6"/>
      <c r="X425" s="120"/>
    </row>
    <row r="426" spans="1:24" ht="13.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K426" s="12"/>
      <c r="L426" s="12"/>
      <c r="M426" s="12"/>
      <c r="N426" s="6"/>
      <c r="X426" s="120"/>
    </row>
    <row r="427" spans="1:24" ht="13.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K427" s="12"/>
      <c r="L427" s="12"/>
      <c r="M427" s="12"/>
      <c r="N427" s="6"/>
      <c r="X427" s="120"/>
    </row>
    <row r="428" spans="1:24" ht="13.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K428" s="12"/>
      <c r="L428" s="12"/>
      <c r="M428" s="12"/>
      <c r="N428" s="6"/>
      <c r="X428" s="120"/>
    </row>
    <row r="429" spans="1:24" ht="13.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K429" s="12"/>
      <c r="L429" s="12"/>
      <c r="M429" s="12"/>
      <c r="N429" s="6"/>
      <c r="X429" s="120"/>
    </row>
    <row r="430" spans="1:24" ht="13.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K430" s="12"/>
      <c r="L430" s="12"/>
      <c r="M430" s="12"/>
      <c r="N430" s="6"/>
      <c r="X430" s="120"/>
    </row>
    <row r="431" spans="1:24" ht="13.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K431" s="12"/>
      <c r="L431" s="12"/>
      <c r="M431" s="12"/>
      <c r="N431" s="6"/>
      <c r="X431" s="120"/>
    </row>
    <row r="432" spans="1:24" ht="13.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K432" s="12"/>
      <c r="L432" s="12"/>
      <c r="M432" s="12"/>
      <c r="N432" s="6"/>
      <c r="X432" s="120"/>
    </row>
    <row r="433" spans="1:24" ht="13.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K433" s="12"/>
      <c r="L433" s="12"/>
      <c r="M433" s="12"/>
      <c r="N433" s="6"/>
      <c r="X433" s="120"/>
    </row>
    <row r="434" spans="1:24" ht="13.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K434" s="12"/>
      <c r="L434" s="12"/>
      <c r="M434" s="12"/>
      <c r="N434" s="6"/>
      <c r="X434" s="120"/>
    </row>
    <row r="435" spans="1:24" ht="13.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K435" s="12"/>
      <c r="L435" s="12"/>
      <c r="M435" s="12"/>
      <c r="N435" s="6"/>
      <c r="X435" s="120"/>
    </row>
    <row r="436" spans="1:24" ht="13.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K436" s="12"/>
      <c r="L436" s="12"/>
      <c r="M436" s="12"/>
      <c r="N436" s="6"/>
      <c r="X436" s="120"/>
    </row>
    <row r="437" spans="1:24" ht="13.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K437" s="12"/>
      <c r="L437" s="12"/>
      <c r="M437" s="12"/>
      <c r="N437" s="6"/>
      <c r="X437" s="120"/>
    </row>
    <row r="438" spans="1:24" ht="13.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K438" s="12"/>
      <c r="L438" s="12"/>
      <c r="M438" s="12"/>
      <c r="N438" s="6"/>
      <c r="X438" s="120"/>
    </row>
    <row r="439" spans="1:24" ht="13.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K439" s="12"/>
      <c r="L439" s="12"/>
      <c r="M439" s="12"/>
      <c r="N439" s="6"/>
      <c r="X439" s="120"/>
    </row>
    <row r="440" spans="1:24" ht="13.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K440" s="12"/>
      <c r="L440" s="12"/>
      <c r="M440" s="12"/>
      <c r="N440" s="6"/>
      <c r="X440" s="120"/>
    </row>
    <row r="441" spans="1:24" ht="13.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K441" s="12"/>
      <c r="L441" s="12"/>
      <c r="M441" s="12"/>
      <c r="N441" s="6"/>
      <c r="X441" s="120"/>
    </row>
    <row r="442" spans="1:24" ht="13.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K442" s="12"/>
      <c r="L442" s="12"/>
      <c r="M442" s="12"/>
      <c r="N442" s="6"/>
      <c r="X442" s="120"/>
    </row>
    <row r="443" spans="1:24" ht="13.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K443" s="12"/>
      <c r="L443" s="12"/>
      <c r="M443" s="12"/>
      <c r="N443" s="6"/>
      <c r="X443" s="120"/>
    </row>
    <row r="444" spans="1:24" ht="13.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K444" s="12"/>
      <c r="L444" s="12"/>
      <c r="M444" s="12"/>
      <c r="N444" s="6"/>
      <c r="X444" s="120"/>
    </row>
    <row r="445" spans="1:24" ht="13.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K445" s="12"/>
      <c r="L445" s="12"/>
      <c r="M445" s="12"/>
      <c r="N445" s="6"/>
      <c r="X445" s="120"/>
    </row>
    <row r="446" spans="1:24" ht="13.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K446" s="12"/>
      <c r="L446" s="12"/>
      <c r="M446" s="12"/>
      <c r="N446" s="6"/>
      <c r="X446" s="120"/>
    </row>
    <row r="447" spans="1:24" ht="13.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K447" s="12"/>
      <c r="L447" s="12"/>
      <c r="M447" s="12"/>
      <c r="N447" s="6"/>
      <c r="X447" s="120"/>
    </row>
    <row r="448" spans="1:24" ht="13.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K448" s="12"/>
      <c r="L448" s="12"/>
      <c r="M448" s="12"/>
      <c r="N448" s="6"/>
      <c r="X448" s="120"/>
    </row>
    <row r="449" spans="1:24" ht="13.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K449" s="12"/>
      <c r="L449" s="12"/>
      <c r="M449" s="12"/>
      <c r="N449" s="6"/>
      <c r="X449" s="120"/>
    </row>
    <row r="450" spans="1:24" ht="13.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K450" s="12"/>
      <c r="L450" s="12"/>
      <c r="M450" s="12"/>
      <c r="N450" s="6"/>
      <c r="X450" s="120"/>
    </row>
    <row r="451" spans="1:24" ht="13.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K451" s="12"/>
      <c r="L451" s="12"/>
      <c r="M451" s="12"/>
      <c r="N451" s="6"/>
      <c r="X451" s="120"/>
    </row>
    <row r="452" spans="1:24" ht="13.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K452" s="12"/>
      <c r="L452" s="12"/>
      <c r="M452" s="12"/>
      <c r="N452" s="6"/>
      <c r="X452" s="120"/>
    </row>
    <row r="453" spans="1:24" ht="13.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K453" s="12"/>
      <c r="L453" s="12"/>
      <c r="M453" s="12"/>
      <c r="N453" s="6"/>
      <c r="X453" s="120"/>
    </row>
    <row r="454" spans="1:24" ht="13.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K454" s="12"/>
      <c r="L454" s="12"/>
      <c r="M454" s="12"/>
      <c r="N454" s="6"/>
      <c r="X454" s="120"/>
    </row>
    <row r="455" spans="1:24" ht="13.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K455" s="12"/>
      <c r="L455" s="12"/>
      <c r="M455" s="12"/>
      <c r="N455" s="6"/>
      <c r="X455" s="120"/>
    </row>
    <row r="456" spans="1:24" ht="13.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K456" s="12"/>
      <c r="L456" s="12"/>
      <c r="M456" s="12"/>
      <c r="N456" s="6"/>
      <c r="X456" s="120"/>
    </row>
    <row r="457" spans="1:24" ht="13.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K457" s="12"/>
      <c r="L457" s="12"/>
      <c r="M457" s="12"/>
      <c r="N457" s="6"/>
      <c r="X457" s="120"/>
    </row>
    <row r="458" spans="1:24" ht="13.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K458" s="12"/>
      <c r="L458" s="12"/>
      <c r="M458" s="12"/>
      <c r="N458" s="6"/>
      <c r="X458" s="120"/>
    </row>
    <row r="459" spans="1:24" ht="13.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K459" s="12"/>
      <c r="L459" s="12"/>
      <c r="M459" s="12"/>
      <c r="N459" s="6"/>
      <c r="X459" s="120"/>
    </row>
    <row r="460" spans="1:24" ht="13.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K460" s="12"/>
      <c r="L460" s="12"/>
      <c r="M460" s="12"/>
      <c r="N460" s="6"/>
      <c r="X460" s="120"/>
    </row>
    <row r="461" spans="1:24" ht="13.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K461" s="12"/>
      <c r="L461" s="12"/>
      <c r="M461" s="12"/>
      <c r="N461" s="6"/>
      <c r="X461" s="120"/>
    </row>
    <row r="462" spans="1:24" ht="13.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K462" s="12"/>
      <c r="L462" s="12"/>
      <c r="M462" s="12"/>
      <c r="N462" s="6"/>
      <c r="X462" s="120"/>
    </row>
    <row r="463" spans="1:24" ht="13.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K463" s="12"/>
      <c r="L463" s="12"/>
      <c r="M463" s="12"/>
      <c r="N463" s="6"/>
      <c r="X463" s="120"/>
    </row>
    <row r="464" spans="1:24" ht="13.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K464" s="12"/>
      <c r="L464" s="12"/>
      <c r="M464" s="12"/>
      <c r="N464" s="6"/>
      <c r="X464" s="120"/>
    </row>
    <row r="465" spans="1:24" ht="13.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K465" s="12"/>
      <c r="L465" s="12"/>
      <c r="M465" s="12"/>
      <c r="N465" s="6"/>
      <c r="X465" s="120"/>
    </row>
    <row r="466" spans="1:24" ht="13.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K466" s="12"/>
      <c r="L466" s="12"/>
      <c r="M466" s="12"/>
      <c r="N466" s="6"/>
      <c r="X466" s="120"/>
    </row>
    <row r="467" spans="1:24" ht="13.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K467" s="12"/>
      <c r="L467" s="12"/>
      <c r="M467" s="12"/>
      <c r="N467" s="6"/>
      <c r="X467" s="120"/>
    </row>
    <row r="468" spans="1:24" ht="13.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K468" s="12"/>
      <c r="L468" s="12"/>
      <c r="M468" s="12"/>
      <c r="N468" s="6"/>
      <c r="X468" s="120"/>
    </row>
    <row r="469" spans="1:24" ht="13.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K469" s="12"/>
      <c r="L469" s="12"/>
      <c r="M469" s="12"/>
      <c r="N469" s="6"/>
      <c r="X469" s="120"/>
    </row>
    <row r="470" spans="1:24" ht="13.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K470" s="12"/>
      <c r="L470" s="12"/>
      <c r="M470" s="12"/>
      <c r="N470" s="6"/>
      <c r="X470" s="120"/>
    </row>
    <row r="471" spans="1:24" ht="13.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K471" s="12"/>
      <c r="L471" s="12"/>
      <c r="M471" s="12"/>
      <c r="N471" s="6"/>
      <c r="X471" s="120"/>
    </row>
    <row r="472" spans="1:24" ht="13.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K472" s="12"/>
      <c r="L472" s="12"/>
      <c r="M472" s="12"/>
      <c r="N472" s="6"/>
      <c r="X472" s="120"/>
    </row>
    <row r="473" spans="1:24" ht="13.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K473" s="12"/>
      <c r="L473" s="12"/>
      <c r="M473" s="12"/>
      <c r="N473" s="6"/>
      <c r="X473" s="120"/>
    </row>
    <row r="474" spans="1:24" ht="13.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K474" s="12"/>
      <c r="L474" s="12"/>
      <c r="M474" s="12"/>
      <c r="N474" s="6"/>
      <c r="X474" s="120"/>
    </row>
    <row r="475" spans="1:24" ht="13.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K475" s="12"/>
      <c r="L475" s="12"/>
      <c r="M475" s="12"/>
      <c r="N475" s="6"/>
      <c r="X475" s="120"/>
    </row>
    <row r="476" spans="1:24" ht="13.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K476" s="12"/>
      <c r="L476" s="12"/>
      <c r="M476" s="12"/>
      <c r="N476" s="6"/>
      <c r="X476" s="120"/>
    </row>
    <row r="477" spans="1:24" ht="13.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K477" s="12"/>
      <c r="L477" s="12"/>
      <c r="M477" s="12"/>
      <c r="N477" s="6"/>
      <c r="X477" s="120"/>
    </row>
    <row r="478" spans="1:24" ht="13.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K478" s="12"/>
      <c r="L478" s="12"/>
      <c r="M478" s="12"/>
      <c r="N478" s="6"/>
      <c r="X478" s="120"/>
    </row>
    <row r="479" spans="1:24" ht="13.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K479" s="12"/>
      <c r="L479" s="12"/>
      <c r="M479" s="12"/>
      <c r="N479" s="6"/>
      <c r="X479" s="120"/>
    </row>
    <row r="480" spans="1:24" ht="13.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K480" s="12"/>
      <c r="L480" s="12"/>
      <c r="M480" s="12"/>
      <c r="N480" s="6"/>
      <c r="X480" s="120"/>
    </row>
    <row r="481" spans="1:24" ht="13.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K481" s="12"/>
      <c r="L481" s="12"/>
      <c r="M481" s="12"/>
      <c r="N481" s="6"/>
      <c r="X481" s="120"/>
    </row>
    <row r="482" spans="1:24" ht="13.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K482" s="12"/>
      <c r="L482" s="12"/>
      <c r="M482" s="12"/>
      <c r="N482" s="6"/>
      <c r="X482" s="120"/>
    </row>
    <row r="483" spans="1:24" ht="13.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K483" s="12"/>
      <c r="L483" s="12"/>
      <c r="M483" s="12"/>
      <c r="N483" s="6"/>
      <c r="X483" s="120"/>
    </row>
    <row r="484" spans="1:24" ht="13.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K484" s="12"/>
      <c r="L484" s="12"/>
      <c r="M484" s="12"/>
      <c r="N484" s="6"/>
      <c r="X484" s="120"/>
    </row>
    <row r="485" spans="1:24" ht="13.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K485" s="12"/>
      <c r="L485" s="12"/>
      <c r="M485" s="12"/>
      <c r="N485" s="6"/>
      <c r="X485" s="120"/>
    </row>
    <row r="486" spans="1:24" ht="13.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K486" s="12"/>
      <c r="L486" s="12"/>
      <c r="M486" s="12"/>
      <c r="N486" s="6"/>
      <c r="X486" s="120"/>
    </row>
    <row r="487" spans="1:24" ht="13.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K487" s="12"/>
      <c r="L487" s="12"/>
      <c r="M487" s="12"/>
      <c r="N487" s="6"/>
      <c r="X487" s="120"/>
    </row>
    <row r="488" spans="1:24" ht="13.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K488" s="12"/>
      <c r="L488" s="12"/>
      <c r="M488" s="12"/>
      <c r="N488" s="6"/>
      <c r="X488" s="120"/>
    </row>
    <row r="489" spans="1:24" ht="13.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K489" s="12"/>
      <c r="L489" s="12"/>
      <c r="M489" s="12"/>
      <c r="N489" s="6"/>
      <c r="X489" s="120"/>
    </row>
    <row r="490" spans="1:24" ht="13.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K490" s="12"/>
      <c r="L490" s="12"/>
      <c r="M490" s="12"/>
      <c r="N490" s="6"/>
      <c r="X490" s="120"/>
    </row>
    <row r="491" spans="1:24" ht="13.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K491" s="12"/>
      <c r="L491" s="12"/>
      <c r="M491" s="12"/>
      <c r="N491" s="6"/>
      <c r="X491" s="120"/>
    </row>
    <row r="492" spans="1:24" ht="13.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K492" s="12"/>
      <c r="L492" s="12"/>
      <c r="M492" s="12"/>
      <c r="N492" s="6"/>
      <c r="X492" s="120"/>
    </row>
    <row r="493" spans="1:24" ht="13.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K493" s="12"/>
      <c r="L493" s="12"/>
      <c r="M493" s="12"/>
      <c r="N493" s="6"/>
      <c r="X493" s="120"/>
    </row>
    <row r="494" spans="1:24" ht="13.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K494" s="12"/>
      <c r="L494" s="12"/>
      <c r="M494" s="12"/>
      <c r="N494" s="6"/>
      <c r="X494" s="120"/>
    </row>
    <row r="495" spans="1:24" ht="13.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K495" s="12"/>
      <c r="L495" s="12"/>
      <c r="M495" s="12"/>
      <c r="N495" s="6"/>
      <c r="X495" s="120"/>
    </row>
    <row r="496" spans="1:24" ht="13.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K496" s="12"/>
      <c r="L496" s="12"/>
      <c r="M496" s="12"/>
      <c r="N496" s="6"/>
      <c r="X496" s="120"/>
    </row>
    <row r="497" spans="1:24" ht="13.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K497" s="12"/>
      <c r="L497" s="12"/>
      <c r="M497" s="12"/>
      <c r="N497" s="6"/>
      <c r="X497" s="120"/>
    </row>
    <row r="498" spans="1:24" ht="13.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K498" s="12"/>
      <c r="L498" s="12"/>
      <c r="M498" s="12"/>
      <c r="N498" s="6"/>
      <c r="X498" s="120"/>
    </row>
    <row r="499" spans="1:24" ht="13.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K499" s="12"/>
      <c r="L499" s="12"/>
      <c r="M499" s="12"/>
      <c r="N499" s="6"/>
      <c r="X499" s="120"/>
    </row>
    <row r="500" spans="1:24" ht="13.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K500" s="12"/>
      <c r="L500" s="12"/>
      <c r="M500" s="12"/>
      <c r="N500" s="6"/>
      <c r="X500" s="120"/>
    </row>
    <row r="501" spans="1:24" ht="13.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K501" s="12"/>
      <c r="L501" s="12"/>
      <c r="M501" s="12"/>
      <c r="N501" s="6"/>
      <c r="X501" s="120"/>
    </row>
    <row r="502" spans="1:24" ht="13.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K502" s="12"/>
      <c r="L502" s="12"/>
      <c r="M502" s="12"/>
      <c r="N502" s="6"/>
      <c r="X502" s="120"/>
    </row>
    <row r="503" spans="1:24" ht="13.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K503" s="12"/>
      <c r="L503" s="12"/>
      <c r="M503" s="12"/>
      <c r="N503" s="6"/>
      <c r="X503" s="120"/>
    </row>
    <row r="504" spans="1:24" ht="13.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K504" s="12"/>
      <c r="L504" s="12"/>
      <c r="M504" s="12"/>
      <c r="N504" s="6"/>
      <c r="X504" s="120"/>
    </row>
    <row r="505" spans="1:24" ht="13.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K505" s="12"/>
      <c r="L505" s="12"/>
      <c r="M505" s="12"/>
      <c r="N505" s="6"/>
      <c r="X505" s="120"/>
    </row>
    <row r="506" spans="1:24" ht="13.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K506" s="12"/>
      <c r="L506" s="12"/>
      <c r="M506" s="12"/>
      <c r="N506" s="6"/>
      <c r="X506" s="120"/>
    </row>
    <row r="507" spans="1:24" ht="13.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K507" s="12"/>
      <c r="L507" s="12"/>
      <c r="M507" s="12"/>
      <c r="N507" s="6"/>
      <c r="X507" s="120"/>
    </row>
    <row r="508" spans="1:24" ht="13.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K508" s="12"/>
      <c r="L508" s="12"/>
      <c r="M508" s="12"/>
      <c r="N508" s="6"/>
      <c r="X508" s="120"/>
    </row>
    <row r="509" spans="1:24" ht="13.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K509" s="12"/>
      <c r="L509" s="12"/>
      <c r="M509" s="12"/>
      <c r="N509" s="6"/>
      <c r="X509" s="120"/>
    </row>
    <row r="510" spans="1:24" ht="13.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K510" s="12"/>
      <c r="L510" s="12"/>
      <c r="M510" s="12"/>
      <c r="N510" s="6"/>
      <c r="X510" s="120"/>
    </row>
    <row r="511" spans="1:24" ht="13.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K511" s="12"/>
      <c r="L511" s="12"/>
      <c r="M511" s="12"/>
      <c r="N511" s="6"/>
      <c r="X511" s="120"/>
    </row>
    <row r="512" spans="1:24" ht="13.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K512" s="12"/>
      <c r="L512" s="12"/>
      <c r="M512" s="12"/>
      <c r="N512" s="6"/>
      <c r="X512" s="120"/>
    </row>
    <row r="513" spans="1:24" ht="13.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K513" s="12"/>
      <c r="L513" s="12"/>
      <c r="M513" s="12"/>
      <c r="N513" s="6"/>
      <c r="X513" s="120"/>
    </row>
    <row r="514" spans="1:24" ht="13.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K514" s="12"/>
      <c r="L514" s="12"/>
      <c r="M514" s="12"/>
      <c r="N514" s="6"/>
      <c r="X514" s="120"/>
    </row>
    <row r="515" spans="1:24" ht="13.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K515" s="12"/>
      <c r="L515" s="12"/>
      <c r="M515" s="12"/>
      <c r="N515" s="6"/>
      <c r="X515" s="120"/>
    </row>
    <row r="516" spans="1:24" ht="13.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K516" s="12"/>
      <c r="L516" s="12"/>
      <c r="M516" s="12"/>
      <c r="N516" s="6"/>
      <c r="X516" s="120"/>
    </row>
    <row r="517" spans="1:24" ht="13.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K517" s="12"/>
      <c r="L517" s="12"/>
      <c r="M517" s="12"/>
      <c r="N517" s="6"/>
      <c r="X517" s="120"/>
    </row>
    <row r="518" spans="1:24" ht="13.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K518" s="12"/>
      <c r="L518" s="12"/>
      <c r="M518" s="12"/>
      <c r="N518" s="6"/>
      <c r="X518" s="120"/>
    </row>
    <row r="519" spans="1:24" ht="13.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K519" s="12"/>
      <c r="L519" s="12"/>
      <c r="M519" s="12"/>
      <c r="N519" s="6"/>
      <c r="X519" s="120"/>
    </row>
    <row r="520" spans="1:24" ht="13.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K520" s="12"/>
      <c r="L520" s="12"/>
      <c r="M520" s="12"/>
      <c r="N520" s="6"/>
      <c r="X520" s="120"/>
    </row>
    <row r="521" spans="1:24" ht="13.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K521" s="12"/>
      <c r="L521" s="12"/>
      <c r="M521" s="12"/>
      <c r="N521" s="6"/>
      <c r="X521" s="120"/>
    </row>
    <row r="522" spans="1:24" ht="13.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K522" s="12"/>
      <c r="L522" s="12"/>
      <c r="M522" s="12"/>
      <c r="N522" s="6"/>
      <c r="X522" s="120"/>
    </row>
    <row r="523" spans="1:24" ht="13.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K523" s="12"/>
      <c r="L523" s="12"/>
      <c r="M523" s="12"/>
      <c r="N523" s="6"/>
      <c r="X523" s="120"/>
    </row>
    <row r="524" spans="1:24" ht="13.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K524" s="12"/>
      <c r="L524" s="12"/>
      <c r="M524" s="12"/>
      <c r="N524" s="6"/>
      <c r="X524" s="120"/>
    </row>
    <row r="525" spans="1:24" ht="13.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K525" s="12"/>
      <c r="L525" s="12"/>
      <c r="M525" s="12"/>
      <c r="N525" s="6"/>
      <c r="X525" s="120"/>
    </row>
    <row r="526" spans="1:24" ht="13.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K526" s="12"/>
      <c r="L526" s="12"/>
      <c r="M526" s="12"/>
      <c r="N526" s="6"/>
      <c r="X526" s="120"/>
    </row>
    <row r="527" spans="1:24" ht="13.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K527" s="12"/>
      <c r="L527" s="12"/>
      <c r="M527" s="12"/>
      <c r="N527" s="6"/>
      <c r="X527" s="120"/>
    </row>
    <row r="528" spans="1:24" ht="13.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K528" s="12"/>
      <c r="L528" s="12"/>
      <c r="M528" s="12"/>
      <c r="N528" s="6"/>
      <c r="X528" s="120"/>
    </row>
    <row r="529" spans="1:24" ht="13.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K529" s="12"/>
      <c r="L529" s="12"/>
      <c r="M529" s="12"/>
      <c r="N529" s="6"/>
      <c r="X529" s="120"/>
    </row>
    <row r="530" spans="1:24" ht="13.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K530" s="12"/>
      <c r="L530" s="12"/>
      <c r="M530" s="12"/>
      <c r="N530" s="6"/>
      <c r="X530" s="120"/>
    </row>
    <row r="531" spans="1:24" ht="13.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K531" s="12"/>
      <c r="L531" s="12"/>
      <c r="M531" s="12"/>
      <c r="N531" s="6"/>
      <c r="X531" s="120"/>
    </row>
    <row r="532" spans="1:24" ht="13.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K532" s="12"/>
      <c r="L532" s="12"/>
      <c r="M532" s="12"/>
      <c r="N532" s="6"/>
      <c r="X532" s="120"/>
    </row>
    <row r="533" spans="1:24" ht="13.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K533" s="12"/>
      <c r="L533" s="12"/>
      <c r="M533" s="12"/>
      <c r="N533" s="6"/>
      <c r="X533" s="120"/>
    </row>
    <row r="534" spans="1:24" ht="13.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K534" s="12"/>
      <c r="L534" s="12"/>
      <c r="M534" s="12"/>
      <c r="N534" s="6"/>
      <c r="X534" s="120"/>
    </row>
    <row r="535" spans="1:24" ht="13.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K535" s="12"/>
      <c r="L535" s="12"/>
      <c r="M535" s="12"/>
      <c r="N535" s="6"/>
      <c r="X535" s="120"/>
    </row>
    <row r="536" spans="1:24" ht="13.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K536" s="12"/>
      <c r="L536" s="12"/>
      <c r="M536" s="12"/>
      <c r="N536" s="6"/>
      <c r="X536" s="120"/>
    </row>
    <row r="537" spans="1:24" ht="13.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K537" s="12"/>
      <c r="L537" s="12"/>
      <c r="M537" s="12"/>
      <c r="N537" s="6"/>
      <c r="X537" s="120"/>
    </row>
    <row r="538" spans="1:24" ht="13.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K538" s="12"/>
      <c r="L538" s="12"/>
      <c r="M538" s="12"/>
      <c r="N538" s="6"/>
      <c r="X538" s="120"/>
    </row>
    <row r="539" spans="1:24" ht="13.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K539" s="12"/>
      <c r="L539" s="12"/>
      <c r="M539" s="12"/>
      <c r="N539" s="6"/>
      <c r="X539" s="120"/>
    </row>
    <row r="540" spans="1:24" ht="13.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K540" s="12"/>
      <c r="L540" s="12"/>
      <c r="M540" s="12"/>
      <c r="N540" s="6"/>
      <c r="X540" s="120"/>
    </row>
    <row r="541" spans="1:24" ht="13.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K541" s="12"/>
      <c r="L541" s="12"/>
      <c r="M541" s="12"/>
      <c r="N541" s="6"/>
      <c r="X541" s="120"/>
    </row>
    <row r="542" spans="1:24" ht="13.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K542" s="12"/>
      <c r="L542" s="12"/>
      <c r="M542" s="12"/>
      <c r="N542" s="6"/>
      <c r="X542" s="120"/>
    </row>
    <row r="543" spans="1:24" ht="13.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K543" s="12"/>
      <c r="L543" s="12"/>
      <c r="M543" s="12"/>
      <c r="N543" s="6"/>
      <c r="X543" s="120"/>
    </row>
    <row r="544" spans="1:24" ht="13.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K544" s="12"/>
      <c r="L544" s="12"/>
      <c r="M544" s="12"/>
      <c r="N544" s="6"/>
      <c r="X544" s="120"/>
    </row>
    <row r="545" spans="1:24" ht="13.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K545" s="12"/>
      <c r="L545" s="12"/>
      <c r="M545" s="12"/>
      <c r="N545" s="6"/>
      <c r="X545" s="120"/>
    </row>
    <row r="546" spans="1:24" ht="13.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K546" s="12"/>
      <c r="L546" s="12"/>
      <c r="M546" s="12"/>
      <c r="N546" s="6"/>
      <c r="X546" s="120"/>
    </row>
    <row r="547" spans="1:24" ht="13.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K547" s="12"/>
      <c r="L547" s="12"/>
      <c r="M547" s="12"/>
      <c r="N547" s="6"/>
      <c r="X547" s="120"/>
    </row>
    <row r="548" spans="1:24" ht="13.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K548" s="12"/>
      <c r="L548" s="12"/>
      <c r="M548" s="12"/>
      <c r="N548" s="6"/>
      <c r="X548" s="120"/>
    </row>
    <row r="549" spans="1:24" ht="13.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K549" s="12"/>
      <c r="L549" s="12"/>
      <c r="M549" s="12"/>
      <c r="N549" s="6"/>
      <c r="X549" s="120"/>
    </row>
    <row r="550" spans="1:24" ht="13.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K550" s="12"/>
      <c r="L550" s="12"/>
      <c r="M550" s="12"/>
      <c r="N550" s="6"/>
      <c r="X550" s="120"/>
    </row>
    <row r="551" spans="1:24" ht="13.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K551" s="12"/>
      <c r="L551" s="12"/>
      <c r="M551" s="12"/>
      <c r="N551" s="6"/>
      <c r="X551" s="120"/>
    </row>
    <row r="552" spans="1:24" ht="13.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K552" s="12"/>
      <c r="L552" s="12"/>
      <c r="M552" s="12"/>
      <c r="N552" s="6"/>
      <c r="X552" s="120"/>
    </row>
    <row r="553" spans="1:24" ht="13.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K553" s="12"/>
      <c r="L553" s="12"/>
      <c r="M553" s="12"/>
      <c r="N553" s="6"/>
      <c r="X553" s="120"/>
    </row>
    <row r="554" spans="1:24" ht="13.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K554" s="12"/>
      <c r="L554" s="12"/>
      <c r="M554" s="12"/>
      <c r="N554" s="6"/>
      <c r="X554" s="120"/>
    </row>
    <row r="555" spans="1:24" ht="13.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K555" s="12"/>
      <c r="L555" s="12"/>
      <c r="M555" s="12"/>
      <c r="N555" s="6"/>
      <c r="X555" s="120"/>
    </row>
    <row r="556" spans="1:24" ht="13.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K556" s="12"/>
      <c r="L556" s="12"/>
      <c r="M556" s="12"/>
      <c r="N556" s="6"/>
      <c r="X556" s="120"/>
    </row>
    <row r="557" spans="1:24" ht="13.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K557" s="12"/>
      <c r="L557" s="12"/>
      <c r="M557" s="12"/>
      <c r="N557" s="6"/>
      <c r="X557" s="120"/>
    </row>
    <row r="558" spans="1:24" ht="13.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K558" s="12"/>
      <c r="L558" s="12"/>
      <c r="M558" s="12"/>
      <c r="N558" s="6"/>
      <c r="X558" s="120"/>
    </row>
    <row r="559" spans="1:24" ht="13.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K559" s="12"/>
      <c r="L559" s="12"/>
      <c r="M559" s="12"/>
      <c r="N559" s="6"/>
      <c r="X559" s="120"/>
    </row>
    <row r="560" spans="1:24" ht="13.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K560" s="12"/>
      <c r="L560" s="12"/>
      <c r="M560" s="12"/>
      <c r="N560" s="6"/>
      <c r="X560" s="120"/>
    </row>
    <row r="561" spans="1:24" ht="13.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K561" s="12"/>
      <c r="L561" s="12"/>
      <c r="M561" s="12"/>
      <c r="N561" s="6"/>
      <c r="X561" s="120"/>
    </row>
    <row r="562" spans="1:24" ht="13.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K562" s="12"/>
      <c r="L562" s="12"/>
      <c r="M562" s="12"/>
      <c r="N562" s="6"/>
      <c r="X562" s="120"/>
    </row>
    <row r="563" spans="1:24" ht="13.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K563" s="12"/>
      <c r="L563" s="12"/>
      <c r="M563" s="12"/>
      <c r="N563" s="6"/>
      <c r="X563" s="120"/>
    </row>
    <row r="564" spans="1:24" ht="13.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K564" s="12"/>
      <c r="L564" s="12"/>
      <c r="M564" s="12"/>
      <c r="N564" s="6"/>
      <c r="X564" s="120"/>
    </row>
    <row r="565" spans="1:24" ht="13.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K565" s="12"/>
      <c r="L565" s="12"/>
      <c r="M565" s="12"/>
      <c r="N565" s="6"/>
      <c r="X565" s="120"/>
    </row>
    <row r="566" spans="1:24" ht="13.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K566" s="12"/>
      <c r="L566" s="12"/>
      <c r="M566" s="12"/>
      <c r="N566" s="6"/>
      <c r="X566" s="120"/>
    </row>
    <row r="567" spans="1:24" ht="13.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K567" s="12"/>
      <c r="L567" s="12"/>
      <c r="M567" s="12"/>
      <c r="N567" s="6"/>
      <c r="X567" s="120"/>
    </row>
    <row r="568" spans="1:24" ht="13.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K568" s="12"/>
      <c r="L568" s="12"/>
      <c r="M568" s="12"/>
      <c r="N568" s="6"/>
      <c r="X568" s="120"/>
    </row>
    <row r="569" spans="1:24" ht="13.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K569" s="12"/>
      <c r="L569" s="12"/>
      <c r="M569" s="12"/>
      <c r="N569" s="6"/>
      <c r="X569" s="120"/>
    </row>
    <row r="570" spans="1:24" ht="13.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K570" s="12"/>
      <c r="L570" s="12"/>
      <c r="M570" s="12"/>
      <c r="N570" s="6"/>
      <c r="X570" s="120"/>
    </row>
    <row r="571" spans="1:24" ht="13.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K571" s="12"/>
      <c r="L571" s="12"/>
      <c r="M571" s="12"/>
      <c r="N571" s="6"/>
      <c r="X571" s="120"/>
    </row>
    <row r="572" spans="1:24" ht="13.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K572" s="12"/>
      <c r="L572" s="12"/>
      <c r="M572" s="12"/>
      <c r="N572" s="6"/>
      <c r="X572" s="120"/>
    </row>
    <row r="573" spans="1:24" ht="13.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K573" s="12"/>
      <c r="L573" s="12"/>
      <c r="M573" s="12"/>
      <c r="N573" s="6"/>
      <c r="X573" s="120"/>
    </row>
    <row r="574" spans="1:24" ht="13.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K574" s="12"/>
      <c r="L574" s="12"/>
      <c r="M574" s="12"/>
      <c r="N574" s="6"/>
      <c r="X574" s="120"/>
    </row>
    <row r="575" spans="1:24" ht="13.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K575" s="12"/>
      <c r="L575" s="12"/>
      <c r="M575" s="12"/>
      <c r="N575" s="6"/>
      <c r="X575" s="120"/>
    </row>
    <row r="576" spans="1:24" ht="13.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K576" s="12"/>
      <c r="L576" s="12"/>
      <c r="M576" s="12"/>
      <c r="N576" s="6"/>
      <c r="X576" s="120"/>
    </row>
    <row r="577" spans="1:24" ht="13.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K577" s="12"/>
      <c r="L577" s="12"/>
      <c r="M577" s="12"/>
      <c r="N577" s="6"/>
      <c r="X577" s="120"/>
    </row>
    <row r="578" spans="1:24" ht="13.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K578" s="12"/>
      <c r="L578" s="12"/>
      <c r="M578" s="12"/>
      <c r="N578" s="6"/>
      <c r="X578" s="120"/>
    </row>
    <row r="579" spans="1:24" ht="13.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K579" s="12"/>
      <c r="L579" s="12"/>
      <c r="M579" s="12"/>
      <c r="N579" s="6"/>
      <c r="X579" s="120"/>
    </row>
    <row r="580" spans="1:24" ht="13.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K580" s="12"/>
      <c r="L580" s="12"/>
      <c r="M580" s="12"/>
      <c r="N580" s="6"/>
      <c r="X580" s="120"/>
    </row>
    <row r="581" spans="1:24" ht="13.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K581" s="12"/>
      <c r="L581" s="12"/>
      <c r="M581" s="12"/>
      <c r="N581" s="6"/>
      <c r="X581" s="120"/>
    </row>
    <row r="582" spans="1:24" ht="13.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K582" s="12"/>
      <c r="L582" s="12"/>
      <c r="M582" s="12"/>
      <c r="N582" s="6"/>
      <c r="X582" s="120"/>
    </row>
    <row r="583" spans="1:24" ht="13.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K583" s="12"/>
      <c r="L583" s="12"/>
      <c r="M583" s="12"/>
      <c r="N583" s="6"/>
      <c r="X583" s="120"/>
    </row>
    <row r="584" spans="1:24" ht="13.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K584" s="12"/>
      <c r="L584" s="12"/>
      <c r="M584" s="12"/>
      <c r="N584" s="6"/>
      <c r="X584" s="120"/>
    </row>
    <row r="585" spans="1:24" ht="13.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K585" s="12"/>
      <c r="L585" s="12"/>
      <c r="M585" s="12"/>
      <c r="N585" s="6"/>
      <c r="X585" s="120"/>
    </row>
    <row r="586" spans="1:24" ht="13.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K586" s="12"/>
      <c r="L586" s="12"/>
      <c r="M586" s="12"/>
      <c r="N586" s="6"/>
      <c r="X586" s="120"/>
    </row>
    <row r="587" spans="1:24" ht="13.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K587" s="12"/>
      <c r="L587" s="12"/>
      <c r="M587" s="12"/>
      <c r="N587" s="6"/>
      <c r="X587" s="120"/>
    </row>
    <row r="588" spans="1:24" ht="13.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K588" s="12"/>
      <c r="L588" s="12"/>
      <c r="M588" s="12"/>
      <c r="N588" s="6"/>
      <c r="X588" s="120"/>
    </row>
    <row r="589" spans="1:24" ht="13.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K589" s="12"/>
      <c r="L589" s="12"/>
      <c r="M589" s="12"/>
      <c r="N589" s="6"/>
      <c r="X589" s="120"/>
    </row>
    <row r="590" spans="1:24" ht="13.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K590" s="12"/>
      <c r="L590" s="12"/>
      <c r="M590" s="12"/>
      <c r="N590" s="6"/>
      <c r="X590" s="120"/>
    </row>
    <row r="591" spans="1:24" ht="13.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K591" s="12"/>
      <c r="L591" s="12"/>
      <c r="M591" s="12"/>
      <c r="N591" s="6"/>
      <c r="X591" s="120"/>
    </row>
    <row r="592" spans="1:24" ht="13.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K592" s="12"/>
      <c r="L592" s="12"/>
      <c r="M592" s="12"/>
      <c r="N592" s="6"/>
      <c r="X592" s="120"/>
    </row>
    <row r="593" spans="1:24" ht="13.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K593" s="12"/>
      <c r="L593" s="12"/>
      <c r="M593" s="12"/>
      <c r="N593" s="6"/>
      <c r="X593" s="120"/>
    </row>
    <row r="594" spans="1:24" ht="13.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K594" s="12"/>
      <c r="L594" s="12"/>
      <c r="M594" s="12"/>
      <c r="N594" s="6"/>
      <c r="X594" s="120"/>
    </row>
    <row r="595" spans="1:24" ht="13.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K595" s="12"/>
      <c r="L595" s="12"/>
      <c r="M595" s="12"/>
      <c r="N595" s="6"/>
      <c r="X595" s="120"/>
    </row>
    <row r="596" spans="1:24" ht="13.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K596" s="12"/>
      <c r="L596" s="12"/>
      <c r="M596" s="12"/>
      <c r="N596" s="6"/>
      <c r="X596" s="120"/>
    </row>
    <row r="597" spans="1:24" ht="13.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K597" s="12"/>
      <c r="L597" s="12"/>
      <c r="M597" s="12"/>
      <c r="N597" s="6"/>
      <c r="X597" s="120"/>
    </row>
    <row r="598" spans="1:24" ht="13.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K598" s="12"/>
      <c r="L598" s="12"/>
      <c r="M598" s="12"/>
      <c r="N598" s="6"/>
      <c r="X598" s="120"/>
    </row>
    <row r="599" spans="1:24" ht="13.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K599" s="12"/>
      <c r="L599" s="12"/>
      <c r="M599" s="12"/>
      <c r="N599" s="6"/>
      <c r="X599" s="120"/>
    </row>
    <row r="600" spans="1:24" ht="13.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K600" s="12"/>
      <c r="L600" s="12"/>
      <c r="M600" s="12"/>
      <c r="N600" s="6"/>
      <c r="X600" s="120"/>
    </row>
    <row r="601" spans="1:24" ht="13.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K601" s="12"/>
      <c r="L601" s="12"/>
      <c r="M601" s="12"/>
      <c r="N601" s="6"/>
      <c r="X601" s="120"/>
    </row>
    <row r="602" spans="1:24" ht="13.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K602" s="12"/>
      <c r="L602" s="12"/>
      <c r="M602" s="12"/>
      <c r="N602" s="6"/>
      <c r="X602" s="120"/>
    </row>
    <row r="603" spans="1:24" ht="13.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K603" s="12"/>
      <c r="L603" s="12"/>
      <c r="M603" s="12"/>
      <c r="N603" s="6"/>
      <c r="X603" s="120"/>
    </row>
    <row r="604" spans="1:24" ht="13.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K604" s="12"/>
      <c r="L604" s="12"/>
      <c r="M604" s="12"/>
      <c r="N604" s="6"/>
      <c r="X604" s="120"/>
    </row>
    <row r="605" spans="1:24" ht="13.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K605" s="12"/>
      <c r="L605" s="12"/>
      <c r="M605" s="12"/>
      <c r="N605" s="6"/>
      <c r="X605" s="120"/>
    </row>
    <row r="606" spans="1:24" ht="13.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K606" s="12"/>
      <c r="L606" s="12"/>
      <c r="M606" s="12"/>
      <c r="N606" s="6"/>
      <c r="X606" s="120"/>
    </row>
    <row r="607" spans="1:24" ht="13.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K607" s="12"/>
      <c r="L607" s="12"/>
      <c r="M607" s="12"/>
      <c r="N607" s="6"/>
      <c r="X607" s="120"/>
    </row>
    <row r="608" spans="1:24" ht="13.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K608" s="12"/>
      <c r="L608" s="12"/>
      <c r="M608" s="12"/>
      <c r="N608" s="6"/>
      <c r="X608" s="120"/>
    </row>
    <row r="609" spans="1:24" ht="13.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K609" s="12"/>
      <c r="L609" s="12"/>
      <c r="M609" s="12"/>
      <c r="N609" s="6"/>
      <c r="X609" s="120"/>
    </row>
    <row r="610" spans="1:24" ht="13.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K610" s="12"/>
      <c r="L610" s="12"/>
      <c r="M610" s="12"/>
      <c r="N610" s="6"/>
      <c r="X610" s="120"/>
    </row>
    <row r="611" spans="1:24" ht="13.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K611" s="12"/>
      <c r="L611" s="12"/>
      <c r="M611" s="12"/>
      <c r="N611" s="6"/>
      <c r="X611" s="120"/>
    </row>
    <row r="612" spans="1:24" ht="13.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K612" s="12"/>
      <c r="L612" s="12"/>
      <c r="M612" s="12"/>
      <c r="N612" s="6"/>
      <c r="X612" s="120"/>
    </row>
    <row r="613" spans="1:24" ht="13.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K613" s="12"/>
      <c r="L613" s="12"/>
      <c r="M613" s="12"/>
      <c r="N613" s="6"/>
      <c r="X613" s="120"/>
    </row>
    <row r="614" spans="1:24" ht="13.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K614" s="12"/>
      <c r="L614" s="12"/>
      <c r="M614" s="12"/>
      <c r="N614" s="6"/>
      <c r="X614" s="120"/>
    </row>
    <row r="615" spans="1:24" ht="13.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K615" s="12"/>
      <c r="L615" s="12"/>
      <c r="M615" s="12"/>
      <c r="N615" s="6"/>
      <c r="X615" s="120"/>
    </row>
    <row r="616" spans="1:24" ht="13.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K616" s="12"/>
      <c r="L616" s="12"/>
      <c r="M616" s="12"/>
      <c r="N616" s="6"/>
      <c r="X616" s="120"/>
    </row>
    <row r="617" spans="1:24" ht="13.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K617" s="12"/>
      <c r="L617" s="12"/>
      <c r="M617" s="12"/>
      <c r="N617" s="6"/>
      <c r="X617" s="120"/>
    </row>
    <row r="618" spans="1:24" ht="13.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K618" s="12"/>
      <c r="L618" s="12"/>
      <c r="M618" s="12"/>
      <c r="N618" s="6"/>
      <c r="X618" s="120"/>
    </row>
    <row r="619" spans="1:24" ht="13.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K619" s="12"/>
      <c r="L619" s="12"/>
      <c r="M619" s="12"/>
      <c r="N619" s="6"/>
      <c r="X619" s="120"/>
    </row>
    <row r="620" spans="1:24" ht="13.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K620" s="12"/>
      <c r="L620" s="12"/>
      <c r="M620" s="12"/>
      <c r="N620" s="6"/>
      <c r="X620" s="120"/>
    </row>
    <row r="621" spans="1:24" ht="13.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K621" s="12"/>
      <c r="L621" s="12"/>
      <c r="M621" s="12"/>
      <c r="N621" s="6"/>
      <c r="X621" s="120"/>
    </row>
    <row r="622" spans="1:24" ht="13.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K622" s="12"/>
      <c r="L622" s="12"/>
      <c r="M622" s="12"/>
      <c r="N622" s="6"/>
      <c r="X622" s="120"/>
    </row>
    <row r="623" spans="1:24" ht="13.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K623" s="12"/>
      <c r="L623" s="12"/>
      <c r="M623" s="12"/>
      <c r="N623" s="6"/>
      <c r="X623" s="120"/>
    </row>
    <row r="624" spans="1:24" ht="13.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K624" s="12"/>
      <c r="L624" s="12"/>
      <c r="M624" s="12"/>
      <c r="N624" s="6"/>
      <c r="X624" s="120"/>
    </row>
    <row r="625" spans="1:24" ht="13.2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K625" s="12"/>
      <c r="L625" s="12"/>
      <c r="M625" s="12"/>
      <c r="N625" s="6"/>
      <c r="X625" s="120"/>
    </row>
    <row r="626" spans="1:24" ht="13.2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K626" s="12"/>
      <c r="L626" s="12"/>
      <c r="M626" s="12"/>
      <c r="N626" s="6"/>
      <c r="X626" s="120"/>
    </row>
    <row r="627" spans="1:24" ht="13.2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K627" s="12"/>
      <c r="L627" s="12"/>
      <c r="M627" s="12"/>
      <c r="N627" s="6"/>
      <c r="X627" s="120"/>
    </row>
    <row r="628" spans="1:24" ht="13.2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K628" s="12"/>
      <c r="L628" s="12"/>
      <c r="M628" s="12"/>
      <c r="N628" s="6"/>
      <c r="X628" s="120"/>
    </row>
    <row r="629" spans="1:24" ht="13.2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K629" s="12"/>
      <c r="L629" s="12"/>
      <c r="M629" s="12"/>
      <c r="N629" s="6"/>
      <c r="X629" s="120"/>
    </row>
    <row r="630" spans="1:24" ht="13.2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K630" s="12"/>
      <c r="L630" s="12"/>
      <c r="M630" s="12"/>
      <c r="N630" s="6"/>
      <c r="X630" s="120"/>
    </row>
    <row r="631" spans="1:24" ht="13.2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K631" s="12"/>
      <c r="L631" s="12"/>
      <c r="M631" s="12"/>
      <c r="N631" s="6"/>
      <c r="X631" s="120"/>
    </row>
    <row r="632" spans="1:24" ht="13.2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K632" s="12"/>
      <c r="L632" s="12"/>
      <c r="M632" s="12"/>
      <c r="N632" s="6"/>
      <c r="X632" s="120"/>
    </row>
    <row r="633" spans="1:24" ht="13.2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K633" s="12"/>
      <c r="L633" s="12"/>
      <c r="M633" s="12"/>
      <c r="N633" s="6"/>
      <c r="X633" s="120"/>
    </row>
    <row r="634" spans="1:24" ht="13.2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K634" s="12"/>
      <c r="L634" s="12"/>
      <c r="M634" s="12"/>
      <c r="N634" s="6"/>
      <c r="X634" s="120"/>
    </row>
    <row r="635" spans="1:24" ht="13.2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K635" s="12"/>
      <c r="L635" s="12"/>
      <c r="M635" s="12"/>
      <c r="N635" s="6"/>
      <c r="X635" s="120"/>
    </row>
    <row r="636" spans="1:24" ht="13.2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K636" s="12"/>
      <c r="L636" s="12"/>
      <c r="M636" s="12"/>
      <c r="N636" s="6"/>
      <c r="X636" s="120"/>
    </row>
    <row r="637" spans="1:24" ht="13.2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K637" s="12"/>
      <c r="L637" s="12"/>
      <c r="M637" s="12"/>
      <c r="N637" s="6"/>
      <c r="X637" s="120"/>
    </row>
    <row r="638" spans="1:24" ht="13.2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K638" s="12"/>
      <c r="L638" s="12"/>
      <c r="M638" s="12"/>
      <c r="N638" s="6"/>
      <c r="X638" s="120"/>
    </row>
    <row r="639" spans="1:24" ht="13.2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K639" s="12"/>
      <c r="L639" s="12"/>
      <c r="M639" s="12"/>
      <c r="N639" s="6"/>
      <c r="X639" s="120"/>
    </row>
    <row r="640" spans="1:24" ht="13.2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K640" s="12"/>
      <c r="L640" s="12"/>
      <c r="M640" s="12"/>
      <c r="N640" s="6"/>
      <c r="X640" s="120"/>
    </row>
    <row r="641" spans="1:24" ht="13.2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K641" s="12"/>
      <c r="L641" s="12"/>
      <c r="M641" s="12"/>
      <c r="N641" s="6"/>
      <c r="X641" s="120"/>
    </row>
    <row r="642" spans="1:24" ht="13.2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K642" s="12"/>
      <c r="L642" s="12"/>
      <c r="M642" s="12"/>
      <c r="N642" s="6"/>
      <c r="X642" s="120"/>
    </row>
    <row r="643" spans="1:24" ht="13.2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K643" s="12"/>
      <c r="L643" s="12"/>
      <c r="M643" s="12"/>
      <c r="N643" s="6"/>
      <c r="X643" s="120"/>
    </row>
    <row r="644" spans="1:24" ht="13.2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K644" s="12"/>
      <c r="L644" s="12"/>
      <c r="M644" s="12"/>
      <c r="N644" s="6"/>
      <c r="X644" s="120"/>
    </row>
    <row r="645" spans="1:24" ht="13.2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K645" s="12"/>
      <c r="L645" s="12"/>
      <c r="M645" s="12"/>
      <c r="N645" s="6"/>
      <c r="X645" s="120"/>
    </row>
    <row r="646" spans="1:24" ht="13.2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K646" s="12"/>
      <c r="L646" s="12"/>
      <c r="M646" s="12"/>
      <c r="N646" s="6"/>
      <c r="X646" s="120"/>
    </row>
    <row r="647" spans="1:24" ht="13.2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K647" s="12"/>
      <c r="L647" s="12"/>
      <c r="M647" s="12"/>
      <c r="N647" s="6"/>
      <c r="X647" s="120"/>
    </row>
    <row r="648" spans="1:24" ht="13.2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K648" s="12"/>
      <c r="L648" s="12"/>
      <c r="M648" s="12"/>
      <c r="N648" s="6"/>
      <c r="X648" s="120"/>
    </row>
    <row r="649" spans="1:24" ht="13.2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K649" s="12"/>
      <c r="L649" s="12"/>
      <c r="M649" s="12"/>
      <c r="N649" s="6"/>
      <c r="X649" s="120"/>
    </row>
    <row r="650" spans="1:24" ht="13.2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K650" s="12"/>
      <c r="L650" s="12"/>
      <c r="M650" s="12"/>
      <c r="N650" s="6"/>
      <c r="X650" s="120"/>
    </row>
    <row r="651" spans="1:24" ht="13.2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K651" s="12"/>
      <c r="L651" s="12"/>
      <c r="M651" s="12"/>
      <c r="N651" s="6"/>
      <c r="X651" s="120"/>
    </row>
    <row r="652" spans="1:24" ht="13.2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K652" s="12"/>
      <c r="L652" s="12"/>
      <c r="M652" s="12"/>
      <c r="N652" s="6"/>
      <c r="X652" s="120"/>
    </row>
    <row r="653" spans="1:24" ht="13.2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K653" s="12"/>
      <c r="L653" s="12"/>
      <c r="M653" s="12"/>
      <c r="N653" s="6"/>
      <c r="X653" s="120"/>
    </row>
    <row r="654" spans="1:24" ht="13.2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K654" s="12"/>
      <c r="L654" s="12"/>
      <c r="M654" s="12"/>
      <c r="N654" s="6"/>
      <c r="X654" s="120"/>
    </row>
    <row r="655" spans="1:24" ht="13.2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K655" s="12"/>
      <c r="L655" s="12"/>
      <c r="M655" s="12"/>
      <c r="N655" s="6"/>
      <c r="X655" s="120"/>
    </row>
    <row r="656" spans="1:24" ht="13.2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K656" s="12"/>
      <c r="L656" s="12"/>
      <c r="M656" s="12"/>
      <c r="N656" s="6"/>
      <c r="X656" s="120"/>
    </row>
    <row r="657" spans="1:24" ht="13.2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K657" s="12"/>
      <c r="L657" s="12"/>
      <c r="M657" s="12"/>
      <c r="N657" s="6"/>
      <c r="X657" s="120"/>
    </row>
    <row r="658" spans="1:24" ht="13.2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K658" s="12"/>
      <c r="L658" s="12"/>
      <c r="M658" s="12"/>
      <c r="N658" s="6"/>
      <c r="X658" s="120"/>
    </row>
    <row r="659" spans="1:24" ht="13.2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K659" s="12"/>
      <c r="L659" s="12"/>
      <c r="M659" s="12"/>
      <c r="N659" s="6"/>
      <c r="X659" s="120"/>
    </row>
    <row r="660" spans="1:24" ht="13.2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K660" s="12"/>
      <c r="L660" s="12"/>
      <c r="M660" s="12"/>
      <c r="N660" s="6"/>
      <c r="X660" s="120"/>
    </row>
    <row r="661" spans="1:24" ht="13.2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K661" s="12"/>
      <c r="L661" s="12"/>
      <c r="M661" s="12"/>
      <c r="N661" s="6"/>
      <c r="X661" s="120"/>
    </row>
    <row r="662" spans="1:24" ht="13.2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K662" s="12"/>
      <c r="L662" s="12"/>
      <c r="M662" s="12"/>
      <c r="N662" s="6"/>
      <c r="X662" s="120"/>
    </row>
    <row r="663" spans="1:24" ht="13.2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K663" s="12"/>
      <c r="L663" s="12"/>
      <c r="M663" s="12"/>
      <c r="N663" s="6"/>
      <c r="X663" s="120"/>
    </row>
    <row r="664" spans="1:24" ht="13.2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K664" s="12"/>
      <c r="L664" s="12"/>
      <c r="M664" s="12"/>
      <c r="N664" s="6"/>
      <c r="X664" s="120"/>
    </row>
    <row r="665" spans="1:24" ht="13.2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K665" s="12"/>
      <c r="L665" s="12"/>
      <c r="M665" s="12"/>
      <c r="N665" s="6"/>
      <c r="X665" s="120"/>
    </row>
    <row r="666" spans="1:24" ht="13.2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K666" s="12"/>
      <c r="L666" s="12"/>
      <c r="M666" s="12"/>
      <c r="N666" s="6"/>
      <c r="X666" s="120"/>
    </row>
    <row r="667" spans="1:24" ht="13.2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K667" s="12"/>
      <c r="L667" s="12"/>
      <c r="M667" s="12"/>
      <c r="N667" s="6"/>
      <c r="X667" s="120"/>
    </row>
    <row r="668" spans="1:24" ht="13.2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K668" s="12"/>
      <c r="L668" s="12"/>
      <c r="M668" s="12"/>
      <c r="N668" s="6"/>
      <c r="X668" s="120"/>
    </row>
    <row r="669" spans="1:24" ht="13.2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K669" s="12"/>
      <c r="L669" s="12"/>
      <c r="M669" s="12"/>
      <c r="N669" s="6"/>
      <c r="X669" s="120"/>
    </row>
    <row r="670" spans="1:24" ht="13.2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K670" s="12"/>
      <c r="L670" s="12"/>
      <c r="M670" s="12"/>
      <c r="N670" s="6"/>
      <c r="X670" s="120"/>
    </row>
    <row r="671" spans="1:24" ht="13.2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K671" s="12"/>
      <c r="L671" s="12"/>
      <c r="M671" s="12"/>
      <c r="N671" s="6"/>
      <c r="X671" s="120"/>
    </row>
    <row r="672" spans="1:24" ht="13.2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K672" s="12"/>
      <c r="L672" s="12"/>
      <c r="M672" s="12"/>
      <c r="N672" s="6"/>
      <c r="X672" s="120"/>
    </row>
    <row r="673" spans="1:24" ht="13.2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K673" s="12"/>
      <c r="L673" s="12"/>
      <c r="M673" s="12"/>
      <c r="N673" s="6"/>
      <c r="X673" s="120"/>
    </row>
    <row r="674" spans="1:24" ht="13.2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K674" s="12"/>
      <c r="L674" s="12"/>
      <c r="M674" s="12"/>
      <c r="N674" s="6"/>
      <c r="X674" s="120"/>
    </row>
    <row r="675" spans="1:24" ht="13.2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K675" s="12"/>
      <c r="L675" s="12"/>
      <c r="M675" s="12"/>
      <c r="N675" s="6"/>
      <c r="X675" s="120"/>
    </row>
    <row r="676" spans="1:24" ht="13.2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K676" s="12"/>
      <c r="L676" s="12"/>
      <c r="M676" s="12"/>
      <c r="N676" s="6"/>
      <c r="X676" s="120"/>
    </row>
    <row r="677" spans="1:24" ht="13.2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K677" s="12"/>
      <c r="L677" s="12"/>
      <c r="M677" s="12"/>
      <c r="N677" s="6"/>
      <c r="X677" s="120"/>
    </row>
    <row r="678" spans="1:24" ht="13.2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K678" s="12"/>
      <c r="L678" s="12"/>
      <c r="M678" s="12"/>
      <c r="N678" s="6"/>
      <c r="X678" s="120"/>
    </row>
    <row r="679" spans="1:24" ht="13.2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K679" s="12"/>
      <c r="L679" s="12"/>
      <c r="M679" s="12"/>
      <c r="N679" s="6"/>
      <c r="X679" s="120"/>
    </row>
    <row r="680" spans="1:24" ht="13.2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K680" s="12"/>
      <c r="L680" s="12"/>
      <c r="M680" s="12"/>
      <c r="N680" s="6"/>
      <c r="X680" s="120"/>
    </row>
    <row r="681" spans="1:24" ht="13.2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K681" s="12"/>
      <c r="L681" s="12"/>
      <c r="M681" s="12"/>
      <c r="N681" s="6"/>
      <c r="X681" s="120"/>
    </row>
    <row r="682" spans="1:24" ht="13.2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K682" s="12"/>
      <c r="L682" s="12"/>
      <c r="M682" s="12"/>
      <c r="N682" s="6"/>
      <c r="X682" s="120"/>
    </row>
    <row r="683" spans="1:24" ht="13.2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K683" s="12"/>
      <c r="L683" s="12"/>
      <c r="M683" s="12"/>
      <c r="N683" s="6"/>
      <c r="X683" s="120"/>
    </row>
    <row r="684" spans="1:24" ht="13.2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K684" s="12"/>
      <c r="L684" s="12"/>
      <c r="M684" s="12"/>
      <c r="N684" s="6"/>
      <c r="X684" s="120"/>
    </row>
    <row r="685" spans="1:24" ht="13.2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K685" s="12"/>
      <c r="L685" s="12"/>
      <c r="M685" s="12"/>
      <c r="N685" s="6"/>
      <c r="X685" s="120"/>
    </row>
    <row r="686" spans="1:24" ht="13.2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K686" s="12"/>
      <c r="L686" s="12"/>
      <c r="M686" s="12"/>
      <c r="N686" s="6"/>
      <c r="X686" s="120"/>
    </row>
    <row r="687" spans="1:24" ht="13.2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K687" s="12"/>
      <c r="L687" s="12"/>
      <c r="M687" s="12"/>
      <c r="N687" s="6"/>
      <c r="X687" s="120"/>
    </row>
    <row r="688" spans="1:24" ht="13.2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K688" s="12"/>
      <c r="L688" s="12"/>
      <c r="M688" s="12"/>
      <c r="N688" s="6"/>
      <c r="X688" s="120"/>
    </row>
    <row r="689" spans="1:24" ht="13.2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K689" s="12"/>
      <c r="L689" s="12"/>
      <c r="M689" s="12"/>
      <c r="N689" s="6"/>
      <c r="X689" s="120"/>
    </row>
    <row r="690" spans="1:24" ht="13.2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K690" s="12"/>
      <c r="L690" s="12"/>
      <c r="M690" s="12"/>
      <c r="N690" s="6"/>
      <c r="X690" s="120"/>
    </row>
    <row r="691" spans="1:24" ht="13.2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K691" s="12"/>
      <c r="L691" s="12"/>
      <c r="M691" s="12"/>
      <c r="N691" s="6"/>
      <c r="X691" s="120"/>
    </row>
    <row r="692" spans="1:24" ht="13.2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K692" s="12"/>
      <c r="L692" s="12"/>
      <c r="M692" s="12"/>
      <c r="N692" s="6"/>
      <c r="X692" s="120"/>
    </row>
    <row r="693" spans="1:24" ht="13.2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K693" s="12"/>
      <c r="L693" s="12"/>
      <c r="M693" s="12"/>
      <c r="N693" s="6"/>
      <c r="X693" s="120"/>
    </row>
    <row r="694" spans="1:24" ht="13.2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K694" s="12"/>
      <c r="L694" s="12"/>
      <c r="M694" s="12"/>
      <c r="N694" s="6"/>
      <c r="X694" s="120"/>
    </row>
    <row r="695" spans="1:24" ht="13.2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K695" s="12"/>
      <c r="L695" s="12"/>
      <c r="M695" s="12"/>
      <c r="N695" s="6"/>
      <c r="X695" s="120"/>
    </row>
    <row r="696" spans="1:24" ht="13.2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K696" s="12"/>
      <c r="L696" s="12"/>
      <c r="M696" s="12"/>
      <c r="N696" s="6"/>
      <c r="X696" s="120"/>
    </row>
    <row r="697" spans="1:24" ht="13.2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K697" s="12"/>
      <c r="L697" s="12"/>
      <c r="M697" s="12"/>
      <c r="N697" s="6"/>
      <c r="X697" s="120"/>
    </row>
    <row r="698" spans="1:24" ht="13.2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K698" s="12"/>
      <c r="L698" s="12"/>
      <c r="M698" s="12"/>
      <c r="N698" s="6"/>
      <c r="X698" s="120"/>
    </row>
    <row r="699" spans="1:24" ht="13.2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K699" s="12"/>
      <c r="L699" s="12"/>
      <c r="M699" s="12"/>
      <c r="N699" s="6"/>
      <c r="X699" s="120"/>
    </row>
    <row r="700" spans="1:24" ht="13.2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K700" s="12"/>
      <c r="L700" s="12"/>
      <c r="M700" s="12"/>
      <c r="N700" s="6"/>
      <c r="X700" s="120"/>
    </row>
    <row r="701" spans="1:24" ht="13.2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K701" s="12"/>
      <c r="L701" s="12"/>
      <c r="M701" s="12"/>
      <c r="N701" s="6"/>
      <c r="X701" s="120"/>
    </row>
    <row r="702" spans="1:24" ht="13.2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K702" s="12"/>
      <c r="L702" s="12"/>
      <c r="M702" s="12"/>
      <c r="N702" s="6"/>
      <c r="X702" s="120"/>
    </row>
    <row r="703" spans="1:24" ht="13.2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K703" s="12"/>
      <c r="L703" s="12"/>
      <c r="M703" s="12"/>
      <c r="N703" s="6"/>
      <c r="X703" s="120"/>
    </row>
    <row r="704" spans="1:24" ht="13.2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K704" s="12"/>
      <c r="L704" s="12"/>
      <c r="M704" s="12"/>
      <c r="N704" s="6"/>
      <c r="X704" s="120"/>
    </row>
    <row r="705" spans="1:24" ht="13.2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K705" s="12"/>
      <c r="L705" s="12"/>
      <c r="M705" s="12"/>
      <c r="N705" s="6"/>
      <c r="X705" s="120"/>
    </row>
    <row r="706" spans="1:24" ht="13.2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K706" s="12"/>
      <c r="L706" s="12"/>
      <c r="M706" s="12"/>
      <c r="N706" s="6"/>
      <c r="X706" s="120"/>
    </row>
    <row r="707" spans="1:24" ht="13.2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K707" s="12"/>
      <c r="L707" s="12"/>
      <c r="M707" s="12"/>
      <c r="N707" s="6"/>
      <c r="X707" s="120"/>
    </row>
    <row r="708" spans="1:24" ht="13.2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K708" s="12"/>
      <c r="L708" s="12"/>
      <c r="M708" s="12"/>
      <c r="N708" s="6"/>
      <c r="X708" s="120"/>
    </row>
    <row r="709" spans="1:24" ht="13.2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K709" s="12"/>
      <c r="L709" s="12"/>
      <c r="M709" s="12"/>
      <c r="N709" s="6"/>
      <c r="X709" s="120"/>
    </row>
    <row r="710" spans="1:24" ht="13.2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K710" s="12"/>
      <c r="L710" s="12"/>
      <c r="M710" s="12"/>
      <c r="N710" s="6"/>
      <c r="X710" s="120"/>
    </row>
    <row r="711" spans="1:24" ht="13.2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K711" s="12"/>
      <c r="L711" s="12"/>
      <c r="M711" s="12"/>
      <c r="N711" s="6"/>
      <c r="X711" s="120"/>
    </row>
    <row r="712" spans="1:24" ht="13.2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K712" s="12"/>
      <c r="L712" s="12"/>
      <c r="M712" s="12"/>
      <c r="N712" s="6"/>
      <c r="X712" s="120"/>
    </row>
    <row r="713" spans="1:24" ht="13.2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K713" s="12"/>
      <c r="L713" s="12"/>
      <c r="M713" s="12"/>
      <c r="N713" s="6"/>
      <c r="X713" s="120"/>
    </row>
    <row r="714" spans="1:24" ht="13.2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K714" s="12"/>
      <c r="L714" s="12"/>
      <c r="M714" s="12"/>
      <c r="N714" s="6"/>
      <c r="X714" s="120"/>
    </row>
    <row r="715" spans="1:24" ht="13.2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K715" s="12"/>
      <c r="L715" s="12"/>
      <c r="M715" s="12"/>
      <c r="N715" s="6"/>
      <c r="X715" s="120"/>
    </row>
    <row r="716" spans="1:24" ht="13.2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K716" s="12"/>
      <c r="L716" s="12"/>
      <c r="M716" s="12"/>
      <c r="N716" s="6"/>
      <c r="X716" s="120"/>
    </row>
    <row r="717" spans="1:24" ht="13.2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K717" s="12"/>
      <c r="L717" s="12"/>
      <c r="M717" s="12"/>
      <c r="N717" s="6"/>
      <c r="X717" s="120"/>
    </row>
    <row r="718" spans="1:24" ht="13.2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K718" s="12"/>
      <c r="L718" s="12"/>
      <c r="M718" s="12"/>
      <c r="N718" s="6"/>
      <c r="X718" s="120"/>
    </row>
    <row r="719" spans="1:24" ht="13.2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K719" s="12"/>
      <c r="L719" s="12"/>
      <c r="M719" s="12"/>
      <c r="N719" s="6"/>
      <c r="X719" s="120"/>
    </row>
    <row r="720" spans="1:24" ht="13.2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K720" s="12"/>
      <c r="L720" s="12"/>
      <c r="M720" s="12"/>
      <c r="N720" s="6"/>
      <c r="X720" s="120"/>
    </row>
    <row r="721" spans="1:24" ht="13.2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K721" s="12"/>
      <c r="L721" s="12"/>
      <c r="M721" s="12"/>
      <c r="N721" s="6"/>
      <c r="X721" s="120"/>
    </row>
    <row r="722" spans="1:24" ht="13.2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K722" s="12"/>
      <c r="L722" s="12"/>
      <c r="M722" s="12"/>
      <c r="N722" s="6"/>
      <c r="X722" s="120"/>
    </row>
    <row r="723" spans="1:24" ht="13.2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K723" s="12"/>
      <c r="L723" s="12"/>
      <c r="M723" s="12"/>
      <c r="N723" s="6"/>
      <c r="X723" s="120"/>
    </row>
    <row r="724" spans="1:24" ht="13.2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K724" s="12"/>
      <c r="L724" s="12"/>
      <c r="M724" s="12"/>
      <c r="N724" s="6"/>
      <c r="X724" s="120"/>
    </row>
    <row r="725" spans="1:24" ht="13.2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K725" s="12"/>
      <c r="L725" s="12"/>
      <c r="M725" s="12"/>
      <c r="N725" s="6"/>
      <c r="X725" s="120"/>
    </row>
    <row r="726" spans="1:24" ht="13.2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K726" s="12"/>
      <c r="L726" s="12"/>
      <c r="M726" s="12"/>
      <c r="N726" s="6"/>
      <c r="X726" s="120"/>
    </row>
    <row r="727" spans="1:24" ht="13.2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K727" s="12"/>
      <c r="L727" s="12"/>
      <c r="M727" s="12"/>
      <c r="N727" s="6"/>
      <c r="X727" s="120"/>
    </row>
    <row r="728" spans="1:24" ht="13.2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K728" s="12"/>
      <c r="L728" s="12"/>
      <c r="M728" s="12"/>
      <c r="N728" s="6"/>
      <c r="X728" s="120"/>
    </row>
    <row r="729" spans="1:24" ht="13.2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K729" s="12"/>
      <c r="L729" s="12"/>
      <c r="M729" s="12"/>
      <c r="N729" s="6"/>
      <c r="X729" s="120"/>
    </row>
    <row r="730" spans="1:24" ht="13.2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K730" s="12"/>
      <c r="L730" s="12"/>
      <c r="M730" s="12"/>
      <c r="N730" s="6"/>
      <c r="X730" s="120"/>
    </row>
    <row r="731" spans="1:24" ht="13.2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K731" s="12"/>
      <c r="L731" s="12"/>
      <c r="M731" s="12"/>
      <c r="N731" s="6"/>
      <c r="X731" s="120"/>
    </row>
    <row r="732" spans="1:24" ht="13.2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K732" s="12"/>
      <c r="L732" s="12"/>
      <c r="M732" s="12"/>
      <c r="N732" s="6"/>
      <c r="X732" s="120"/>
    </row>
    <row r="733" spans="1:24" ht="13.2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K733" s="12"/>
      <c r="L733" s="12"/>
      <c r="M733" s="12"/>
      <c r="N733" s="6"/>
      <c r="X733" s="120"/>
    </row>
    <row r="734" spans="1:24" ht="13.2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K734" s="12"/>
      <c r="L734" s="12"/>
      <c r="M734" s="12"/>
      <c r="N734" s="6"/>
      <c r="X734" s="120"/>
    </row>
    <row r="735" spans="1:24" ht="13.2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K735" s="12"/>
      <c r="L735" s="12"/>
      <c r="M735" s="12"/>
      <c r="N735" s="6"/>
      <c r="X735" s="120"/>
    </row>
    <row r="736" spans="1:24" ht="13.2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K736" s="12"/>
      <c r="L736" s="12"/>
      <c r="M736" s="12"/>
      <c r="N736" s="6"/>
      <c r="X736" s="120"/>
    </row>
    <row r="737" spans="1:24" ht="13.2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K737" s="12"/>
      <c r="L737" s="12"/>
      <c r="M737" s="12"/>
      <c r="N737" s="6"/>
      <c r="X737" s="120"/>
    </row>
    <row r="738" spans="1:24" ht="13.2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K738" s="12"/>
      <c r="L738" s="12"/>
      <c r="M738" s="12"/>
      <c r="N738" s="6"/>
      <c r="X738" s="120"/>
    </row>
    <row r="739" spans="1:24" ht="13.2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K739" s="12"/>
      <c r="L739" s="12"/>
      <c r="M739" s="12"/>
      <c r="N739" s="6"/>
      <c r="X739" s="120"/>
    </row>
    <row r="740" spans="1:24" ht="13.2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K740" s="12"/>
      <c r="L740" s="12"/>
      <c r="M740" s="12"/>
      <c r="N740" s="6"/>
      <c r="X740" s="120"/>
    </row>
    <row r="741" spans="1:24" ht="13.2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K741" s="12"/>
      <c r="L741" s="12"/>
      <c r="M741" s="12"/>
      <c r="N741" s="6"/>
      <c r="X741" s="120"/>
    </row>
    <row r="742" spans="1:24" ht="13.2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K742" s="12"/>
      <c r="L742" s="12"/>
      <c r="M742" s="12"/>
      <c r="N742" s="6"/>
      <c r="X742" s="120"/>
    </row>
    <row r="743" spans="1:24" ht="13.2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K743" s="12"/>
      <c r="L743" s="12"/>
      <c r="M743" s="12"/>
      <c r="N743" s="6"/>
      <c r="X743" s="120"/>
    </row>
    <row r="744" spans="1:24" ht="13.2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K744" s="12"/>
      <c r="L744" s="12"/>
      <c r="M744" s="12"/>
      <c r="N744" s="6"/>
      <c r="X744" s="120"/>
    </row>
    <row r="745" spans="1:24" ht="13.2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K745" s="12"/>
      <c r="L745" s="12"/>
      <c r="M745" s="12"/>
      <c r="N745" s="6"/>
      <c r="X745" s="120"/>
    </row>
    <row r="746" spans="1:24" ht="13.2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K746" s="12"/>
      <c r="L746" s="12"/>
      <c r="M746" s="12"/>
      <c r="N746" s="6"/>
      <c r="X746" s="120"/>
    </row>
    <row r="747" spans="1:24" ht="13.2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K747" s="12"/>
      <c r="L747" s="12"/>
      <c r="M747" s="12"/>
      <c r="N747" s="6"/>
      <c r="X747" s="120"/>
    </row>
    <row r="748" spans="1:24" ht="13.2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K748" s="12"/>
      <c r="L748" s="12"/>
      <c r="M748" s="12"/>
      <c r="N748" s="6"/>
      <c r="X748" s="120"/>
    </row>
    <row r="749" spans="1:24" ht="13.2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K749" s="12"/>
      <c r="L749" s="12"/>
      <c r="M749" s="12"/>
      <c r="N749" s="6"/>
      <c r="X749" s="120"/>
    </row>
    <row r="750" spans="1:24" ht="13.2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K750" s="12"/>
      <c r="L750" s="12"/>
      <c r="M750" s="12"/>
      <c r="N750" s="6"/>
      <c r="X750" s="120"/>
    </row>
    <row r="751" spans="1:24" ht="13.2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K751" s="12"/>
      <c r="L751" s="12"/>
      <c r="M751" s="12"/>
      <c r="N751" s="6"/>
      <c r="X751" s="120"/>
    </row>
    <row r="752" spans="1:24" ht="13.2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K752" s="12"/>
      <c r="L752" s="12"/>
      <c r="M752" s="12"/>
      <c r="N752" s="6"/>
      <c r="X752" s="120"/>
    </row>
    <row r="753" spans="1:24" ht="13.2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K753" s="12"/>
      <c r="L753" s="12"/>
      <c r="M753" s="12"/>
      <c r="N753" s="6"/>
      <c r="X753" s="120"/>
    </row>
    <row r="754" spans="1:24" ht="13.2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K754" s="12"/>
      <c r="L754" s="12"/>
      <c r="M754" s="12"/>
      <c r="N754" s="6"/>
      <c r="X754" s="120"/>
    </row>
    <row r="755" spans="1:24" ht="13.2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K755" s="12"/>
      <c r="L755" s="12"/>
      <c r="M755" s="12"/>
      <c r="N755" s="6"/>
      <c r="X755" s="120"/>
    </row>
    <row r="756" spans="1:24" ht="13.2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K756" s="12"/>
      <c r="L756" s="12"/>
      <c r="M756" s="12"/>
      <c r="N756" s="6"/>
      <c r="X756" s="120"/>
    </row>
    <row r="757" spans="1:24" ht="13.2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K757" s="12"/>
      <c r="L757" s="12"/>
      <c r="M757" s="12"/>
      <c r="N757" s="6"/>
      <c r="X757" s="120"/>
    </row>
    <row r="758" spans="1:24" ht="13.2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K758" s="12"/>
      <c r="L758" s="12"/>
      <c r="M758" s="12"/>
      <c r="N758" s="6"/>
      <c r="X758" s="120"/>
    </row>
    <row r="759" spans="1:24" ht="13.2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K759" s="12"/>
      <c r="L759" s="12"/>
      <c r="M759" s="12"/>
      <c r="N759" s="6"/>
      <c r="X759" s="120"/>
    </row>
    <row r="760" spans="1:24" ht="13.2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K760" s="12"/>
      <c r="L760" s="12"/>
      <c r="M760" s="12"/>
      <c r="N760" s="6"/>
      <c r="X760" s="120"/>
    </row>
    <row r="761" spans="1:24" ht="13.2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K761" s="12"/>
      <c r="L761" s="12"/>
      <c r="M761" s="12"/>
      <c r="N761" s="6"/>
      <c r="X761" s="120"/>
    </row>
    <row r="762" spans="1:24" ht="13.2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K762" s="12"/>
      <c r="L762" s="12"/>
      <c r="M762" s="12"/>
      <c r="N762" s="6"/>
      <c r="X762" s="120"/>
    </row>
    <row r="763" spans="1:24" ht="13.2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K763" s="12"/>
      <c r="L763" s="12"/>
      <c r="M763" s="12"/>
      <c r="N763" s="6"/>
      <c r="X763" s="120"/>
    </row>
    <row r="764" spans="1:24" ht="13.2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K764" s="12"/>
      <c r="L764" s="12"/>
      <c r="M764" s="12"/>
      <c r="N764" s="6"/>
      <c r="X764" s="120"/>
    </row>
    <row r="765" spans="1:24" ht="13.2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K765" s="12"/>
      <c r="L765" s="12"/>
      <c r="M765" s="12"/>
      <c r="N765" s="6"/>
      <c r="X765" s="120"/>
    </row>
    <row r="766" spans="1:24" ht="13.2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K766" s="12"/>
      <c r="L766" s="12"/>
      <c r="M766" s="12"/>
      <c r="N766" s="6"/>
      <c r="X766" s="120"/>
    </row>
    <row r="767" spans="1:24" ht="13.2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K767" s="12"/>
      <c r="L767" s="12"/>
      <c r="M767" s="12"/>
      <c r="N767" s="6"/>
      <c r="X767" s="120"/>
    </row>
    <row r="768" spans="1:24" ht="13.2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K768" s="12"/>
      <c r="L768" s="12"/>
      <c r="M768" s="12"/>
      <c r="N768" s="6"/>
      <c r="X768" s="120"/>
    </row>
    <row r="769" spans="1:24" ht="13.2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K769" s="12"/>
      <c r="L769" s="12"/>
      <c r="M769" s="12"/>
      <c r="N769" s="6"/>
      <c r="X769" s="120"/>
    </row>
    <row r="770" spans="1:24" ht="13.2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K770" s="12"/>
      <c r="L770" s="12"/>
      <c r="M770" s="12"/>
      <c r="N770" s="6"/>
      <c r="X770" s="120"/>
    </row>
    <row r="771" spans="1:24" ht="13.2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K771" s="12"/>
      <c r="L771" s="12"/>
      <c r="M771" s="12"/>
      <c r="N771" s="6"/>
      <c r="X771" s="120"/>
    </row>
    <row r="772" spans="1:24" ht="13.2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K772" s="12"/>
      <c r="L772" s="12"/>
      <c r="M772" s="12"/>
      <c r="N772" s="6"/>
      <c r="X772" s="120"/>
    </row>
    <row r="773" spans="1:24" ht="13.2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K773" s="12"/>
      <c r="L773" s="12"/>
      <c r="M773" s="12"/>
      <c r="N773" s="6"/>
      <c r="X773" s="120"/>
    </row>
    <row r="774" spans="1:24" ht="13.2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K774" s="12"/>
      <c r="L774" s="12"/>
      <c r="M774" s="12"/>
      <c r="N774" s="6"/>
      <c r="X774" s="120"/>
    </row>
    <row r="775" spans="1:24" ht="13.2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K775" s="12"/>
      <c r="L775" s="12"/>
      <c r="M775" s="12"/>
      <c r="N775" s="6"/>
      <c r="X775" s="120"/>
    </row>
    <row r="776" spans="1:24" ht="13.2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K776" s="12"/>
      <c r="L776" s="12"/>
      <c r="M776" s="12"/>
      <c r="N776" s="6"/>
      <c r="X776" s="120"/>
    </row>
    <row r="777" spans="1:24" ht="13.2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K777" s="12"/>
      <c r="L777" s="12"/>
      <c r="M777" s="12"/>
      <c r="N777" s="6"/>
      <c r="X777" s="120"/>
    </row>
    <row r="778" spans="1:24" ht="13.2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K778" s="12"/>
      <c r="L778" s="12"/>
      <c r="M778" s="12"/>
      <c r="N778" s="6"/>
      <c r="X778" s="120"/>
    </row>
    <row r="779" spans="1:24" ht="13.2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K779" s="12"/>
      <c r="L779" s="12"/>
      <c r="M779" s="12"/>
      <c r="N779" s="6"/>
      <c r="X779" s="120"/>
    </row>
    <row r="780" spans="1:24" ht="13.2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K780" s="12"/>
      <c r="L780" s="12"/>
      <c r="M780" s="12"/>
      <c r="N780" s="6"/>
      <c r="X780" s="120"/>
    </row>
    <row r="781" spans="1:24" ht="13.2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K781" s="12"/>
      <c r="L781" s="12"/>
      <c r="M781" s="12"/>
      <c r="N781" s="6"/>
      <c r="X781" s="120"/>
    </row>
    <row r="782" spans="1:24" ht="13.2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K782" s="12"/>
      <c r="L782" s="12"/>
      <c r="M782" s="12"/>
      <c r="N782" s="6"/>
      <c r="X782" s="120"/>
    </row>
    <row r="783" spans="1:24" ht="13.2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K783" s="12"/>
      <c r="L783" s="12"/>
      <c r="M783" s="12"/>
      <c r="N783" s="6"/>
      <c r="X783" s="120"/>
    </row>
    <row r="784" spans="1:24" ht="13.2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K784" s="12"/>
      <c r="L784" s="12"/>
      <c r="M784" s="12"/>
      <c r="N784" s="6"/>
      <c r="X784" s="120"/>
    </row>
    <row r="785" spans="1:24" ht="13.2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K785" s="12"/>
      <c r="L785" s="12"/>
      <c r="M785" s="12"/>
      <c r="N785" s="6"/>
      <c r="X785" s="120"/>
    </row>
    <row r="786" spans="1:24" ht="13.2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K786" s="12"/>
      <c r="L786" s="12"/>
      <c r="M786" s="12"/>
      <c r="N786" s="6"/>
      <c r="X786" s="120"/>
    </row>
    <row r="787" spans="1:24" ht="13.2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K787" s="12"/>
      <c r="L787" s="12"/>
      <c r="M787" s="12"/>
      <c r="N787" s="6"/>
      <c r="X787" s="120"/>
    </row>
    <row r="788" spans="1:24" ht="13.2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K788" s="12"/>
      <c r="L788" s="12"/>
      <c r="M788" s="12"/>
      <c r="N788" s="6"/>
      <c r="X788" s="120"/>
    </row>
    <row r="789" spans="1:24" ht="13.2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K789" s="12"/>
      <c r="L789" s="12"/>
      <c r="M789" s="12"/>
      <c r="N789" s="6"/>
      <c r="X789" s="120"/>
    </row>
    <row r="790" spans="1:24" ht="13.2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K790" s="12"/>
      <c r="L790" s="12"/>
      <c r="M790" s="12"/>
      <c r="N790" s="6"/>
      <c r="X790" s="120"/>
    </row>
    <row r="791" spans="1:24" ht="13.2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K791" s="12"/>
      <c r="L791" s="12"/>
      <c r="M791" s="12"/>
      <c r="N791" s="6"/>
      <c r="X791" s="120"/>
    </row>
    <row r="792" spans="1:24" ht="13.2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K792" s="12"/>
      <c r="L792" s="12"/>
      <c r="M792" s="12"/>
      <c r="N792" s="6"/>
      <c r="X792" s="120"/>
    </row>
    <row r="793" spans="1:24" ht="13.2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K793" s="12"/>
      <c r="L793" s="12"/>
      <c r="M793" s="12"/>
      <c r="N793" s="6"/>
      <c r="X793" s="120"/>
    </row>
    <row r="794" spans="1:24" ht="13.2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K794" s="12"/>
      <c r="L794" s="12"/>
      <c r="M794" s="12"/>
      <c r="N794" s="6"/>
      <c r="X794" s="120"/>
    </row>
    <row r="795" spans="1:24" ht="13.2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K795" s="12"/>
      <c r="L795" s="12"/>
      <c r="M795" s="12"/>
      <c r="N795" s="6"/>
      <c r="X795" s="120"/>
    </row>
    <row r="796" spans="1:24" ht="13.2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K796" s="12"/>
      <c r="L796" s="12"/>
      <c r="M796" s="12"/>
      <c r="N796" s="6"/>
      <c r="X796" s="120"/>
    </row>
    <row r="797" spans="1:24" ht="13.2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K797" s="12"/>
      <c r="L797" s="12"/>
      <c r="M797" s="12"/>
      <c r="N797" s="6"/>
      <c r="X797" s="120"/>
    </row>
    <row r="798" spans="1:24" ht="13.2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K798" s="12"/>
      <c r="L798" s="12"/>
      <c r="M798" s="12"/>
      <c r="N798" s="6"/>
      <c r="X798" s="120"/>
    </row>
    <row r="799" spans="1:24" ht="13.2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K799" s="12"/>
      <c r="L799" s="12"/>
      <c r="M799" s="12"/>
      <c r="N799" s="6"/>
      <c r="X799" s="120"/>
    </row>
    <row r="800" spans="1:24" ht="13.2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K800" s="12"/>
      <c r="L800" s="12"/>
      <c r="M800" s="12"/>
      <c r="N800" s="6"/>
      <c r="X800" s="120"/>
    </row>
    <row r="801" spans="1:24" ht="13.2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K801" s="12"/>
      <c r="L801" s="12"/>
      <c r="M801" s="12"/>
      <c r="N801" s="6"/>
      <c r="X801" s="120"/>
    </row>
    <row r="802" spans="1:24" ht="13.2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K802" s="12"/>
      <c r="L802" s="12"/>
      <c r="M802" s="12"/>
      <c r="N802" s="6"/>
      <c r="X802" s="120"/>
    </row>
    <row r="803" spans="1:24" ht="13.2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K803" s="12"/>
      <c r="L803" s="12"/>
      <c r="M803" s="12"/>
      <c r="N803" s="6"/>
      <c r="X803" s="120"/>
    </row>
    <row r="804" spans="1:24" ht="13.2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K804" s="12"/>
      <c r="L804" s="12"/>
      <c r="M804" s="12"/>
      <c r="N804" s="6"/>
      <c r="X804" s="120"/>
    </row>
    <row r="805" spans="1:24" ht="13.2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K805" s="12"/>
      <c r="L805" s="12"/>
      <c r="M805" s="12"/>
      <c r="N805" s="6"/>
      <c r="X805" s="120"/>
    </row>
    <row r="806" spans="1:24" ht="13.2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K806" s="12"/>
      <c r="L806" s="12"/>
      <c r="M806" s="12"/>
      <c r="N806" s="6"/>
      <c r="X806" s="120"/>
    </row>
    <row r="807" spans="1:24" ht="13.2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K807" s="12"/>
      <c r="L807" s="12"/>
      <c r="M807" s="12"/>
      <c r="N807" s="6"/>
      <c r="X807" s="120"/>
    </row>
    <row r="808" spans="1:24" ht="13.2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K808" s="12"/>
      <c r="L808" s="12"/>
      <c r="M808" s="12"/>
      <c r="N808" s="6"/>
      <c r="X808" s="120"/>
    </row>
    <row r="809" spans="1:24" ht="13.2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K809" s="12"/>
      <c r="L809" s="12"/>
      <c r="M809" s="12"/>
      <c r="N809" s="6"/>
      <c r="X809" s="120"/>
    </row>
    <row r="810" spans="1:24" ht="13.2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K810" s="12"/>
      <c r="L810" s="12"/>
      <c r="M810" s="12"/>
      <c r="N810" s="6"/>
      <c r="X810" s="120"/>
    </row>
    <row r="811" spans="1:24" ht="13.2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K811" s="12"/>
      <c r="L811" s="12"/>
      <c r="M811" s="12"/>
      <c r="N811" s="6"/>
      <c r="X811" s="120"/>
    </row>
    <row r="812" spans="1:24" ht="13.2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K812" s="12"/>
      <c r="L812" s="12"/>
      <c r="M812" s="12"/>
      <c r="N812" s="6"/>
      <c r="X812" s="120"/>
    </row>
    <row r="813" spans="1:24" ht="13.2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K813" s="12"/>
      <c r="L813" s="12"/>
      <c r="M813" s="12"/>
      <c r="N813" s="6"/>
      <c r="X813" s="120"/>
    </row>
    <row r="814" spans="1:24" ht="13.2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K814" s="12"/>
      <c r="L814" s="12"/>
      <c r="M814" s="12"/>
      <c r="N814" s="6"/>
      <c r="X814" s="120"/>
    </row>
    <row r="815" spans="1:24" ht="13.2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K815" s="12"/>
      <c r="L815" s="12"/>
      <c r="M815" s="12"/>
      <c r="N815" s="6"/>
      <c r="X815" s="120"/>
    </row>
    <row r="816" spans="1:24" ht="13.2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K816" s="12"/>
      <c r="L816" s="12"/>
      <c r="M816" s="12"/>
      <c r="N816" s="6"/>
      <c r="X816" s="120"/>
    </row>
    <row r="817" spans="1:24" ht="13.2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K817" s="12"/>
      <c r="L817" s="12"/>
      <c r="M817" s="12"/>
      <c r="N817" s="6"/>
      <c r="X817" s="120"/>
    </row>
    <row r="818" spans="1:24" ht="13.2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K818" s="12"/>
      <c r="L818" s="12"/>
      <c r="M818" s="12"/>
      <c r="N818" s="6"/>
      <c r="X818" s="120"/>
    </row>
    <row r="819" spans="1:24" ht="13.2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K819" s="12"/>
      <c r="L819" s="12"/>
      <c r="M819" s="12"/>
      <c r="N819" s="6"/>
      <c r="X819" s="120"/>
    </row>
    <row r="820" spans="1:24" ht="13.2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K820" s="12"/>
      <c r="L820" s="12"/>
      <c r="M820" s="12"/>
      <c r="N820" s="6"/>
      <c r="X820" s="120"/>
    </row>
    <row r="821" spans="1:24" ht="13.2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K821" s="12"/>
      <c r="L821" s="12"/>
      <c r="M821" s="12"/>
      <c r="N821" s="6"/>
      <c r="X821" s="120"/>
    </row>
    <row r="822" spans="1:24" ht="13.2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K822" s="12"/>
      <c r="L822" s="12"/>
      <c r="M822" s="12"/>
      <c r="N822" s="6"/>
      <c r="X822" s="120"/>
    </row>
    <row r="823" spans="1:24" ht="13.2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K823" s="12"/>
      <c r="L823" s="12"/>
      <c r="M823" s="12"/>
      <c r="N823" s="6"/>
      <c r="X823" s="120"/>
    </row>
    <row r="824" spans="1:24" ht="13.2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K824" s="12"/>
      <c r="L824" s="12"/>
      <c r="M824" s="12"/>
      <c r="N824" s="6"/>
      <c r="X824" s="120"/>
    </row>
    <row r="825" spans="1:24" ht="13.2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K825" s="12"/>
      <c r="L825" s="12"/>
      <c r="M825" s="12"/>
      <c r="N825" s="6"/>
      <c r="X825" s="120"/>
    </row>
    <row r="826" spans="1:24" ht="13.2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K826" s="12"/>
      <c r="L826" s="12"/>
      <c r="M826" s="12"/>
      <c r="N826" s="6"/>
      <c r="X826" s="120"/>
    </row>
    <row r="827" spans="1:24" ht="13.2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K827" s="12"/>
      <c r="L827" s="12"/>
      <c r="M827" s="12"/>
      <c r="N827" s="6"/>
      <c r="X827" s="120"/>
    </row>
    <row r="828" spans="1:24" ht="13.2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K828" s="12"/>
      <c r="L828" s="12"/>
      <c r="M828" s="12"/>
      <c r="N828" s="6"/>
      <c r="X828" s="120"/>
    </row>
    <row r="829" spans="1:24" ht="13.2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K829" s="12"/>
      <c r="L829" s="12"/>
      <c r="M829" s="12"/>
      <c r="N829" s="6"/>
      <c r="X829" s="120"/>
    </row>
    <row r="830" spans="1:24" ht="13.2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K830" s="12"/>
      <c r="L830" s="12"/>
      <c r="M830" s="12"/>
      <c r="N830" s="6"/>
      <c r="X830" s="120"/>
    </row>
    <row r="831" spans="1:24" ht="13.2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K831" s="12"/>
      <c r="L831" s="12"/>
      <c r="M831" s="12"/>
      <c r="N831" s="6"/>
      <c r="X831" s="120"/>
    </row>
    <row r="832" spans="1:24" ht="13.2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K832" s="12"/>
      <c r="L832" s="12"/>
      <c r="M832" s="12"/>
      <c r="N832" s="6"/>
      <c r="X832" s="120"/>
    </row>
    <row r="833" spans="1:24" ht="13.2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K833" s="12"/>
      <c r="L833" s="12"/>
      <c r="M833" s="12"/>
      <c r="N833" s="6"/>
      <c r="X833" s="120"/>
    </row>
    <row r="834" spans="1:24" ht="13.2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K834" s="12"/>
      <c r="L834" s="12"/>
      <c r="M834" s="12"/>
      <c r="N834" s="6"/>
      <c r="X834" s="120"/>
    </row>
    <row r="835" spans="1:24" ht="13.2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K835" s="12"/>
      <c r="L835" s="12"/>
      <c r="M835" s="12"/>
      <c r="N835" s="6"/>
      <c r="X835" s="120"/>
    </row>
    <row r="836" spans="1:24" ht="13.2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K836" s="12"/>
      <c r="L836" s="12"/>
      <c r="M836" s="12"/>
      <c r="N836" s="6"/>
      <c r="X836" s="120"/>
    </row>
    <row r="837" spans="1:24" ht="13.2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K837" s="12"/>
      <c r="L837" s="12"/>
      <c r="M837" s="12"/>
      <c r="N837" s="6"/>
      <c r="X837" s="120"/>
    </row>
    <row r="838" spans="1:24" ht="13.2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K838" s="12"/>
      <c r="L838" s="12"/>
      <c r="M838" s="12"/>
      <c r="N838" s="6"/>
      <c r="X838" s="120"/>
    </row>
    <row r="839" spans="1:24" ht="13.2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K839" s="12"/>
      <c r="L839" s="12"/>
      <c r="M839" s="12"/>
      <c r="N839" s="6"/>
      <c r="X839" s="120"/>
    </row>
    <row r="840" spans="1:24" ht="13.2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K840" s="12"/>
      <c r="L840" s="12"/>
      <c r="M840" s="12"/>
      <c r="N840" s="6"/>
      <c r="X840" s="120"/>
    </row>
    <row r="841" spans="1:24" ht="13.2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K841" s="12"/>
      <c r="L841" s="12"/>
      <c r="M841" s="12"/>
      <c r="N841" s="6"/>
      <c r="X841" s="120"/>
    </row>
    <row r="842" spans="1:24" ht="13.2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K842" s="12"/>
      <c r="L842" s="12"/>
      <c r="M842" s="12"/>
      <c r="N842" s="6"/>
      <c r="X842" s="120"/>
    </row>
    <row r="843" spans="1:24" ht="13.2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K843" s="12"/>
      <c r="L843" s="12"/>
      <c r="M843" s="12"/>
      <c r="N843" s="6"/>
      <c r="X843" s="120"/>
    </row>
    <row r="844" spans="1:24" ht="13.2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K844" s="12"/>
      <c r="L844" s="12"/>
      <c r="M844" s="12"/>
      <c r="N844" s="6"/>
      <c r="X844" s="120"/>
    </row>
    <row r="845" spans="1:24" ht="13.2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K845" s="12"/>
      <c r="L845" s="12"/>
      <c r="M845" s="12"/>
      <c r="N845" s="6"/>
      <c r="X845" s="120"/>
    </row>
    <row r="846" spans="1:24" ht="13.2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K846" s="12"/>
      <c r="L846" s="12"/>
      <c r="M846" s="12"/>
      <c r="N846" s="6"/>
      <c r="X846" s="120"/>
    </row>
    <row r="847" spans="1:24" ht="13.2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K847" s="12"/>
      <c r="L847" s="12"/>
      <c r="M847" s="12"/>
      <c r="N847" s="6"/>
      <c r="X847" s="120"/>
    </row>
    <row r="848" spans="1:24" ht="13.2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K848" s="12"/>
      <c r="L848" s="12"/>
      <c r="M848" s="12"/>
      <c r="N848" s="6"/>
      <c r="X848" s="120"/>
    </row>
    <row r="849" spans="1:24" ht="13.2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K849" s="12"/>
      <c r="L849" s="12"/>
      <c r="M849" s="12"/>
      <c r="N849" s="6"/>
      <c r="X849" s="120"/>
    </row>
    <row r="850" spans="1:24" ht="13.2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K850" s="12"/>
      <c r="L850" s="12"/>
      <c r="M850" s="12"/>
      <c r="N850" s="6"/>
      <c r="X850" s="120"/>
    </row>
    <row r="851" spans="1:24" ht="13.2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K851" s="12"/>
      <c r="L851" s="12"/>
      <c r="M851" s="12"/>
      <c r="N851" s="6"/>
      <c r="X851" s="120"/>
    </row>
    <row r="852" spans="1:24" ht="13.2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K852" s="12"/>
      <c r="L852" s="12"/>
      <c r="M852" s="12"/>
      <c r="N852" s="6"/>
      <c r="X852" s="120"/>
    </row>
    <row r="853" spans="1:24" ht="13.2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K853" s="12"/>
      <c r="L853" s="12"/>
      <c r="M853" s="12"/>
      <c r="N853" s="6"/>
      <c r="X853" s="120"/>
    </row>
    <row r="854" spans="1:24" ht="13.2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K854" s="12"/>
      <c r="L854" s="12"/>
      <c r="M854" s="12"/>
      <c r="N854" s="6"/>
      <c r="X854" s="120"/>
    </row>
    <row r="855" spans="1:24" ht="13.2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K855" s="12"/>
      <c r="L855" s="12"/>
      <c r="M855" s="12"/>
      <c r="N855" s="6"/>
      <c r="X855" s="120"/>
    </row>
    <row r="856" spans="1:24" ht="13.2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K856" s="12"/>
      <c r="L856" s="12"/>
      <c r="M856" s="12"/>
      <c r="N856" s="6"/>
      <c r="X856" s="120"/>
    </row>
    <row r="857" spans="1:24" ht="13.2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K857" s="12"/>
      <c r="L857" s="12"/>
      <c r="M857" s="12"/>
      <c r="N857" s="6"/>
      <c r="X857" s="120"/>
    </row>
    <row r="858" spans="1:24" ht="13.2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K858" s="12"/>
      <c r="L858" s="12"/>
      <c r="M858" s="12"/>
      <c r="N858" s="6"/>
      <c r="X858" s="120"/>
    </row>
    <row r="859" spans="1:24" ht="13.2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K859" s="12"/>
      <c r="L859" s="12"/>
      <c r="M859" s="12"/>
      <c r="N859" s="6"/>
      <c r="X859" s="120"/>
    </row>
    <row r="860" spans="1:24" ht="13.2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K860" s="12"/>
      <c r="L860" s="12"/>
      <c r="M860" s="12"/>
      <c r="N860" s="6"/>
      <c r="X860" s="120"/>
    </row>
    <row r="861" spans="1:24" ht="13.2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K861" s="12"/>
      <c r="L861" s="12"/>
      <c r="M861" s="12"/>
      <c r="N861" s="6"/>
      <c r="X861" s="120"/>
    </row>
    <row r="862" spans="1:24" ht="13.2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K862" s="12"/>
      <c r="L862" s="12"/>
      <c r="M862" s="12"/>
      <c r="N862" s="6"/>
      <c r="X862" s="120"/>
    </row>
    <row r="863" spans="1:24" ht="13.2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K863" s="12"/>
      <c r="L863" s="12"/>
      <c r="M863" s="12"/>
      <c r="N863" s="6"/>
      <c r="X863" s="120"/>
    </row>
    <row r="864" spans="1:24" ht="13.2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K864" s="12"/>
      <c r="L864" s="12"/>
      <c r="M864" s="12"/>
      <c r="N864" s="6"/>
      <c r="X864" s="120"/>
    </row>
    <row r="865" spans="1:24" ht="13.2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K865" s="12"/>
      <c r="L865" s="12"/>
      <c r="M865" s="12"/>
      <c r="N865" s="6"/>
      <c r="X865" s="120"/>
    </row>
    <row r="866" spans="1:24" ht="13.2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K866" s="12"/>
      <c r="L866" s="12"/>
      <c r="M866" s="12"/>
      <c r="N866" s="6"/>
      <c r="X866" s="120"/>
    </row>
    <row r="867" spans="1:24" ht="13.2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K867" s="12"/>
      <c r="L867" s="12"/>
      <c r="M867" s="12"/>
      <c r="N867" s="6"/>
      <c r="X867" s="120"/>
    </row>
    <row r="868" spans="1:24" ht="13.2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K868" s="12"/>
      <c r="L868" s="12"/>
      <c r="M868" s="12"/>
      <c r="N868" s="6"/>
      <c r="X868" s="120"/>
    </row>
    <row r="869" spans="1:24" ht="13.2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K869" s="12"/>
      <c r="L869" s="12"/>
      <c r="M869" s="12"/>
      <c r="N869" s="6"/>
      <c r="X869" s="120"/>
    </row>
    <row r="870" spans="1:24" ht="13.2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K870" s="12"/>
      <c r="L870" s="12"/>
      <c r="M870" s="12"/>
      <c r="N870" s="6"/>
      <c r="X870" s="120"/>
    </row>
    <row r="871" spans="1:24" ht="13.2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K871" s="12"/>
      <c r="L871" s="12"/>
      <c r="M871" s="12"/>
      <c r="N871" s="6"/>
      <c r="X871" s="120"/>
    </row>
    <row r="872" spans="1:24" ht="13.2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K872" s="12"/>
      <c r="L872" s="12"/>
      <c r="M872" s="12"/>
      <c r="N872" s="6"/>
      <c r="X872" s="120"/>
    </row>
    <row r="873" spans="1:24" ht="13.2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K873" s="12"/>
      <c r="L873" s="12"/>
      <c r="M873" s="12"/>
      <c r="N873" s="6"/>
      <c r="X873" s="120"/>
    </row>
    <row r="874" spans="1:24" ht="13.2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K874" s="12"/>
      <c r="L874" s="12"/>
      <c r="M874" s="12"/>
      <c r="N874" s="6"/>
      <c r="X874" s="120"/>
    </row>
    <row r="875" spans="1:24" ht="13.2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K875" s="12"/>
      <c r="L875" s="12"/>
      <c r="M875" s="12"/>
      <c r="N875" s="6"/>
      <c r="X875" s="120"/>
    </row>
    <row r="876" spans="1:24" ht="13.2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K876" s="12"/>
      <c r="L876" s="12"/>
      <c r="M876" s="12"/>
      <c r="N876" s="6"/>
      <c r="X876" s="120"/>
    </row>
    <row r="877" spans="1:24" ht="13.2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K877" s="12"/>
      <c r="L877" s="12"/>
      <c r="M877" s="12"/>
      <c r="N877" s="6"/>
      <c r="X877" s="120"/>
    </row>
    <row r="878" spans="1:24" ht="13.2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K878" s="12"/>
      <c r="L878" s="12"/>
      <c r="M878" s="12"/>
      <c r="N878" s="6"/>
      <c r="X878" s="120"/>
    </row>
    <row r="879" spans="1:24" ht="13.2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K879" s="12"/>
      <c r="L879" s="12"/>
      <c r="M879" s="12"/>
      <c r="N879" s="6"/>
      <c r="X879" s="120"/>
    </row>
    <row r="880" spans="1:24" ht="13.2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K880" s="12"/>
      <c r="L880" s="12"/>
      <c r="M880" s="12"/>
      <c r="N880" s="6"/>
      <c r="X880" s="120"/>
    </row>
    <row r="881" spans="1:24" ht="13.2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K881" s="12"/>
      <c r="L881" s="12"/>
      <c r="M881" s="12"/>
      <c r="N881" s="6"/>
      <c r="X881" s="120"/>
    </row>
    <row r="882" spans="1:24" ht="13.2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K882" s="12"/>
      <c r="L882" s="12"/>
      <c r="M882" s="12"/>
      <c r="N882" s="6"/>
      <c r="X882" s="120"/>
    </row>
    <row r="883" spans="1:24" ht="13.2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K883" s="12"/>
      <c r="L883" s="12"/>
      <c r="M883" s="12"/>
      <c r="N883" s="6"/>
      <c r="X883" s="120"/>
    </row>
    <row r="884" spans="1:24" ht="13.2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K884" s="12"/>
      <c r="L884" s="12"/>
      <c r="M884" s="12"/>
      <c r="N884" s="6"/>
      <c r="X884" s="120"/>
    </row>
    <row r="885" spans="1:24" ht="13.2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K885" s="12"/>
      <c r="L885" s="12"/>
      <c r="M885" s="12"/>
      <c r="N885" s="6"/>
      <c r="X885" s="120"/>
    </row>
    <row r="886" spans="1:24" ht="13.2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K886" s="12"/>
      <c r="L886" s="12"/>
      <c r="M886" s="12"/>
      <c r="N886" s="6"/>
      <c r="X886" s="120"/>
    </row>
    <row r="887" spans="1:24" ht="13.2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K887" s="12"/>
      <c r="L887" s="12"/>
      <c r="M887" s="12"/>
      <c r="N887" s="6"/>
      <c r="X887" s="120"/>
    </row>
    <row r="888" spans="1:24" ht="13.2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K888" s="12"/>
      <c r="L888" s="12"/>
      <c r="M888" s="12"/>
      <c r="N888" s="6"/>
      <c r="X888" s="120"/>
    </row>
    <row r="889" spans="1:24" ht="13.2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K889" s="12"/>
      <c r="L889" s="12"/>
      <c r="M889" s="12"/>
      <c r="N889" s="6"/>
      <c r="X889" s="120"/>
    </row>
    <row r="890" spans="1:24" ht="13.2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K890" s="12"/>
      <c r="L890" s="12"/>
      <c r="M890" s="12"/>
      <c r="N890" s="6"/>
      <c r="X890" s="120"/>
    </row>
    <row r="891" spans="1:24" ht="13.2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K891" s="12"/>
      <c r="L891" s="12"/>
      <c r="M891" s="12"/>
      <c r="N891" s="6"/>
      <c r="X891" s="120"/>
    </row>
    <row r="892" spans="1:24" ht="13.2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K892" s="12"/>
      <c r="L892" s="12"/>
      <c r="M892" s="12"/>
      <c r="N892" s="6"/>
      <c r="X892" s="120"/>
    </row>
    <row r="893" spans="1:24" ht="13.2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K893" s="12"/>
      <c r="L893" s="12"/>
      <c r="M893" s="12"/>
      <c r="N893" s="6"/>
      <c r="X893" s="120"/>
    </row>
    <row r="894" spans="1:24" ht="13.2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K894" s="12"/>
      <c r="L894" s="12"/>
      <c r="M894" s="12"/>
      <c r="N894" s="6"/>
      <c r="X894" s="120"/>
    </row>
    <row r="895" spans="1:24" ht="13.2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K895" s="12"/>
      <c r="L895" s="12"/>
      <c r="M895" s="12"/>
      <c r="N895" s="6"/>
      <c r="X895" s="120"/>
    </row>
    <row r="896" spans="1:24" ht="13.2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K896" s="12"/>
      <c r="L896" s="12"/>
      <c r="M896" s="12"/>
      <c r="N896" s="6"/>
      <c r="X896" s="120"/>
    </row>
    <row r="897" spans="1:24" ht="13.2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K897" s="12"/>
      <c r="L897" s="12"/>
      <c r="M897" s="12"/>
      <c r="N897" s="6"/>
      <c r="X897" s="120"/>
    </row>
    <row r="898" spans="1:24" ht="13.2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K898" s="12"/>
      <c r="L898" s="12"/>
      <c r="M898" s="12"/>
      <c r="N898" s="6"/>
      <c r="X898" s="120"/>
    </row>
    <row r="899" spans="1:24" ht="13.2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K899" s="12"/>
      <c r="L899" s="12"/>
      <c r="M899" s="12"/>
      <c r="N899" s="6"/>
      <c r="X899" s="120"/>
    </row>
    <row r="900" spans="1:24" ht="13.2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K900" s="12"/>
      <c r="L900" s="12"/>
      <c r="M900" s="12"/>
      <c r="N900" s="6"/>
      <c r="X900" s="120"/>
    </row>
    <row r="901" spans="1:24" ht="13.2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K901" s="12"/>
      <c r="L901" s="12"/>
      <c r="M901" s="12"/>
      <c r="N901" s="6"/>
      <c r="X901" s="120"/>
    </row>
    <row r="902" spans="1:24" ht="13.2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K902" s="12"/>
      <c r="L902" s="12"/>
      <c r="M902" s="12"/>
      <c r="N902" s="6"/>
      <c r="X902" s="120"/>
    </row>
    <row r="903" spans="1:24" ht="13.2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K903" s="12"/>
      <c r="L903" s="12"/>
      <c r="M903" s="12"/>
      <c r="N903" s="6"/>
      <c r="X903" s="120"/>
    </row>
    <row r="904" spans="1:24" ht="13.2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K904" s="12"/>
      <c r="L904" s="12"/>
      <c r="M904" s="12"/>
      <c r="N904" s="6"/>
      <c r="X904" s="120"/>
    </row>
    <row r="905" spans="1:24" ht="13.2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K905" s="12"/>
      <c r="L905" s="12"/>
      <c r="M905" s="12"/>
      <c r="N905" s="6"/>
      <c r="X905" s="120"/>
    </row>
    <row r="906" spans="1:24" ht="13.2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K906" s="12"/>
      <c r="L906" s="12"/>
      <c r="M906" s="12"/>
      <c r="N906" s="6"/>
      <c r="X906" s="120"/>
    </row>
    <row r="907" spans="1:24" ht="13.2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K907" s="12"/>
      <c r="L907" s="12"/>
      <c r="M907" s="12"/>
      <c r="N907" s="6"/>
      <c r="X907" s="120"/>
    </row>
    <row r="908" spans="1:24" ht="13.2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K908" s="12"/>
      <c r="L908" s="12"/>
      <c r="M908" s="12"/>
      <c r="N908" s="6"/>
      <c r="X908" s="120"/>
    </row>
    <row r="909" spans="1:24" ht="13.2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K909" s="12"/>
      <c r="L909" s="12"/>
      <c r="M909" s="12"/>
      <c r="N909" s="6"/>
      <c r="X909" s="120"/>
    </row>
    <row r="910" spans="1:24" ht="13.2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K910" s="12"/>
      <c r="L910" s="12"/>
      <c r="M910" s="12"/>
      <c r="N910" s="6"/>
      <c r="X910" s="120"/>
    </row>
    <row r="911" spans="1:24" ht="13.2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K911" s="12"/>
      <c r="L911" s="12"/>
      <c r="M911" s="12"/>
      <c r="N911" s="6"/>
      <c r="X911" s="120"/>
    </row>
    <row r="912" spans="1:24" ht="13.2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K912" s="12"/>
      <c r="L912" s="12"/>
      <c r="M912" s="12"/>
      <c r="N912" s="6"/>
      <c r="X912" s="120"/>
    </row>
    <row r="913" spans="1:24" ht="13.2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K913" s="12"/>
      <c r="L913" s="12"/>
      <c r="M913" s="12"/>
      <c r="N913" s="6"/>
      <c r="X913" s="120"/>
    </row>
    <row r="914" spans="1:24" ht="13.2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K914" s="12"/>
      <c r="L914" s="12"/>
      <c r="M914" s="12"/>
      <c r="N914" s="6"/>
      <c r="X914" s="120"/>
    </row>
    <row r="915" spans="1:24" ht="13.2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K915" s="12"/>
      <c r="L915" s="12"/>
      <c r="M915" s="12"/>
      <c r="N915" s="6"/>
      <c r="X915" s="120"/>
    </row>
    <row r="916" spans="1:24" ht="13.2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K916" s="12"/>
      <c r="L916" s="12"/>
      <c r="M916" s="12"/>
      <c r="N916" s="6"/>
      <c r="X916" s="120"/>
    </row>
    <row r="917" spans="1:24" ht="13.2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K917" s="12"/>
      <c r="L917" s="12"/>
      <c r="M917" s="12"/>
      <c r="N917" s="6"/>
      <c r="X917" s="120"/>
    </row>
    <row r="918" spans="1:24" ht="13.2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K918" s="12"/>
      <c r="L918" s="12"/>
      <c r="M918" s="12"/>
      <c r="N918" s="6"/>
      <c r="X918" s="120"/>
    </row>
    <row r="919" spans="1:24" ht="13.2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K919" s="12"/>
      <c r="L919" s="12"/>
      <c r="M919" s="12"/>
      <c r="N919" s="6"/>
      <c r="X919" s="120"/>
    </row>
    <row r="920" spans="1:24" ht="13.2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K920" s="12"/>
      <c r="L920" s="12"/>
      <c r="M920" s="12"/>
      <c r="N920" s="6"/>
      <c r="X920" s="120"/>
    </row>
    <row r="921" spans="1:24" ht="13.2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K921" s="12"/>
      <c r="L921" s="12"/>
      <c r="M921" s="12"/>
      <c r="N921" s="6"/>
      <c r="X921" s="120"/>
    </row>
    <row r="922" spans="1:24" ht="13.2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K922" s="12"/>
      <c r="L922" s="12"/>
      <c r="M922" s="12"/>
      <c r="N922" s="6"/>
      <c r="X922" s="120"/>
    </row>
    <row r="923" spans="1:24" ht="13.2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K923" s="12"/>
      <c r="L923" s="12"/>
      <c r="M923" s="12"/>
      <c r="N923" s="6"/>
      <c r="X923" s="120"/>
    </row>
    <row r="924" spans="1:24" ht="13.2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K924" s="12"/>
      <c r="L924" s="12"/>
      <c r="M924" s="12"/>
      <c r="N924" s="6"/>
      <c r="X924" s="120"/>
    </row>
    <row r="925" spans="1:24" ht="13.2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K925" s="12"/>
      <c r="L925" s="12"/>
      <c r="M925" s="12"/>
      <c r="N925" s="6"/>
      <c r="X925" s="120"/>
    </row>
    <row r="926" spans="1:24" ht="13.2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K926" s="12"/>
      <c r="L926" s="12"/>
      <c r="M926" s="12"/>
      <c r="N926" s="6"/>
      <c r="X926" s="120"/>
    </row>
    <row r="927" spans="1:24" ht="13.2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K927" s="12"/>
      <c r="L927" s="12"/>
      <c r="M927" s="12"/>
      <c r="N927" s="6"/>
      <c r="X927" s="120"/>
    </row>
    <row r="928" spans="1:24" ht="13.2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K928" s="12"/>
      <c r="L928" s="12"/>
      <c r="M928" s="12"/>
      <c r="N928" s="6"/>
      <c r="X928" s="120"/>
    </row>
    <row r="929" spans="1:24" ht="13.2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K929" s="12"/>
      <c r="L929" s="12"/>
      <c r="M929" s="12"/>
      <c r="N929" s="6"/>
      <c r="X929" s="120"/>
    </row>
    <row r="930" spans="1:24" ht="13.2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K930" s="12"/>
      <c r="L930" s="12"/>
      <c r="M930" s="12"/>
      <c r="N930" s="6"/>
      <c r="X930" s="120"/>
    </row>
    <row r="931" spans="1:24" ht="13.2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K931" s="12"/>
      <c r="L931" s="12"/>
      <c r="M931" s="12"/>
      <c r="N931" s="6"/>
      <c r="X931" s="120"/>
    </row>
    <row r="932" spans="1:24" ht="13.2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K932" s="12"/>
      <c r="L932" s="12"/>
      <c r="M932" s="12"/>
      <c r="N932" s="6"/>
      <c r="X932" s="120"/>
    </row>
    <row r="933" spans="1:24" ht="13.2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K933" s="12"/>
      <c r="L933" s="12"/>
      <c r="M933" s="12"/>
      <c r="N933" s="6"/>
      <c r="X933" s="120"/>
    </row>
    <row r="934" spans="1:24" ht="13.2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K934" s="12"/>
      <c r="L934" s="12"/>
      <c r="M934" s="12"/>
      <c r="N934" s="6"/>
      <c r="X934" s="120"/>
    </row>
    <row r="935" spans="1:24" ht="13.2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K935" s="12"/>
      <c r="L935" s="12"/>
      <c r="M935" s="12"/>
      <c r="N935" s="6"/>
      <c r="X935" s="120"/>
    </row>
    <row r="936" spans="1:24" ht="13.2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K936" s="12"/>
      <c r="L936" s="12"/>
      <c r="M936" s="12"/>
      <c r="N936" s="6"/>
      <c r="X936" s="120"/>
    </row>
    <row r="937" spans="1:24" ht="13.2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K937" s="12"/>
      <c r="L937" s="12"/>
      <c r="M937" s="12"/>
      <c r="N937" s="6"/>
      <c r="X937" s="120"/>
    </row>
    <row r="938" spans="1:24" ht="13.2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K938" s="12"/>
      <c r="L938" s="12"/>
      <c r="M938" s="12"/>
      <c r="N938" s="6"/>
      <c r="X938" s="120"/>
    </row>
    <row r="939" spans="1:24" ht="13.2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K939" s="12"/>
      <c r="L939" s="12"/>
      <c r="M939" s="12"/>
      <c r="N939" s="6"/>
      <c r="X939" s="120"/>
    </row>
    <row r="940" spans="1:24" ht="13.2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K940" s="12"/>
      <c r="L940" s="12"/>
      <c r="M940" s="12"/>
      <c r="N940" s="6"/>
      <c r="X940" s="120"/>
    </row>
    <row r="941" spans="1:24" ht="13.2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K941" s="12"/>
      <c r="L941" s="12"/>
      <c r="M941" s="12"/>
      <c r="N941" s="6"/>
      <c r="X941" s="120"/>
    </row>
    <row r="942" spans="1:24" ht="13.2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K942" s="12"/>
      <c r="L942" s="12"/>
      <c r="M942" s="12"/>
      <c r="N942" s="6"/>
      <c r="X942" s="120"/>
    </row>
    <row r="943" spans="1:24" ht="13.2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K943" s="12"/>
      <c r="L943" s="12"/>
      <c r="M943" s="12"/>
      <c r="N943" s="6"/>
      <c r="X943" s="120"/>
    </row>
    <row r="944" spans="1:24" ht="13.2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K944" s="12"/>
      <c r="L944" s="12"/>
      <c r="M944" s="12"/>
      <c r="N944" s="6"/>
      <c r="X944" s="120"/>
    </row>
    <row r="945" spans="1:24" ht="13.2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K945" s="12"/>
      <c r="L945" s="12"/>
      <c r="M945" s="12"/>
      <c r="N945" s="6"/>
      <c r="X945" s="120"/>
    </row>
    <row r="946" spans="1:24" ht="13.2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K946" s="12"/>
      <c r="L946" s="12"/>
      <c r="M946" s="12"/>
      <c r="N946" s="6"/>
      <c r="X946" s="120"/>
    </row>
    <row r="947" spans="1:24" ht="13.2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K947" s="12"/>
      <c r="L947" s="12"/>
      <c r="M947" s="12"/>
      <c r="N947" s="6"/>
      <c r="X947" s="120"/>
    </row>
    <row r="948" spans="1:24" ht="13.2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K948" s="12"/>
      <c r="L948" s="12"/>
      <c r="M948" s="12"/>
      <c r="N948" s="6"/>
      <c r="X948" s="120"/>
    </row>
    <row r="949" spans="1:24" ht="13.2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K949" s="12"/>
      <c r="L949" s="12"/>
      <c r="M949" s="12"/>
      <c r="N949" s="6"/>
      <c r="X949" s="120"/>
    </row>
    <row r="950" spans="1:24" ht="13.2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K950" s="12"/>
      <c r="L950" s="12"/>
      <c r="M950" s="12"/>
      <c r="N950" s="6"/>
      <c r="X950" s="120"/>
    </row>
    <row r="951" spans="1:24" ht="13.2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K951" s="12"/>
      <c r="L951" s="12"/>
      <c r="M951" s="12"/>
      <c r="N951" s="6"/>
      <c r="X951" s="120"/>
    </row>
    <row r="952" spans="1:24" ht="13.2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K952" s="12"/>
      <c r="L952" s="12"/>
      <c r="M952" s="12"/>
      <c r="N952" s="6"/>
      <c r="X952" s="120"/>
    </row>
    <row r="953" spans="1:24" ht="13.2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K953" s="12"/>
      <c r="L953" s="12"/>
      <c r="M953" s="12"/>
      <c r="N953" s="6"/>
      <c r="X953" s="120"/>
    </row>
    <row r="954" spans="1:24" ht="13.2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K954" s="12"/>
      <c r="L954" s="12"/>
      <c r="M954" s="12"/>
      <c r="N954" s="6"/>
      <c r="X954" s="120"/>
    </row>
    <row r="955" spans="1:24" ht="13.2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K955" s="12"/>
      <c r="L955" s="12"/>
      <c r="M955" s="12"/>
      <c r="N955" s="6"/>
      <c r="X955" s="120"/>
    </row>
    <row r="956" spans="1:24" ht="13.2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K956" s="12"/>
      <c r="L956" s="12"/>
      <c r="M956" s="12"/>
      <c r="N956" s="6"/>
      <c r="X956" s="120"/>
    </row>
    <row r="957" spans="1:24" ht="13.2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K957" s="12"/>
      <c r="L957" s="12"/>
      <c r="M957" s="12"/>
      <c r="N957" s="6"/>
      <c r="X957" s="120"/>
    </row>
    <row r="958" spans="1:24" ht="13.2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K958" s="12"/>
      <c r="L958" s="12"/>
      <c r="M958" s="12"/>
      <c r="N958" s="6"/>
      <c r="X958" s="120"/>
    </row>
    <row r="959" spans="1:24" ht="13.2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K959" s="12"/>
      <c r="L959" s="12"/>
      <c r="M959" s="12"/>
      <c r="N959" s="6"/>
      <c r="X959" s="120"/>
    </row>
    <row r="960" spans="1:24" ht="13.2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K960" s="12"/>
      <c r="L960" s="12"/>
      <c r="M960" s="12"/>
      <c r="N960" s="6"/>
      <c r="X960" s="120"/>
    </row>
    <row r="961" spans="1:24" ht="13.2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K961" s="12"/>
      <c r="L961" s="12"/>
      <c r="M961" s="12"/>
      <c r="N961" s="6"/>
      <c r="X961" s="120"/>
    </row>
    <row r="962" spans="1:24" ht="13.2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K962" s="12"/>
      <c r="L962" s="12"/>
      <c r="M962" s="12"/>
      <c r="N962" s="6"/>
      <c r="X962" s="120"/>
    </row>
    <row r="963" spans="1:24" ht="13.2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K963" s="12"/>
      <c r="L963" s="12"/>
      <c r="M963" s="12"/>
      <c r="N963" s="6"/>
      <c r="X963" s="120"/>
    </row>
    <row r="964" spans="1:24" ht="13.2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K964" s="12"/>
      <c r="L964" s="12"/>
      <c r="M964" s="12"/>
      <c r="N964" s="6"/>
      <c r="X964" s="120"/>
    </row>
    <row r="965" spans="1:24" ht="13.2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K965" s="12"/>
      <c r="L965" s="12"/>
      <c r="M965" s="12"/>
      <c r="N965" s="6"/>
      <c r="X965" s="120"/>
    </row>
    <row r="966" spans="1:24" ht="13.2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K966" s="12"/>
      <c r="L966" s="12"/>
      <c r="M966" s="12"/>
      <c r="N966" s="6"/>
      <c r="X966" s="120"/>
    </row>
    <row r="967" spans="1:24" ht="13.2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K967" s="12"/>
      <c r="L967" s="12"/>
      <c r="M967" s="12"/>
      <c r="N967" s="6"/>
      <c r="X967" s="120"/>
    </row>
    <row r="968" spans="1:24" ht="13.2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K968" s="12"/>
      <c r="L968" s="12"/>
      <c r="M968" s="12"/>
      <c r="N968" s="6"/>
      <c r="X968" s="120"/>
    </row>
    <row r="969" spans="1:24" ht="13.2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K969" s="12"/>
      <c r="L969" s="12"/>
      <c r="M969" s="12"/>
      <c r="N969" s="6"/>
      <c r="X969" s="120"/>
    </row>
    <row r="970" spans="1:24" ht="13.2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K970" s="12"/>
      <c r="L970" s="12"/>
      <c r="M970" s="12"/>
      <c r="N970" s="6"/>
      <c r="X970" s="120"/>
    </row>
    <row r="971" spans="1:24" ht="13.2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K971" s="12"/>
      <c r="L971" s="12"/>
      <c r="M971" s="12"/>
      <c r="N971" s="6"/>
      <c r="X971" s="120"/>
    </row>
    <row r="972" spans="1:24" ht="13.2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K972" s="12"/>
      <c r="L972" s="12"/>
      <c r="M972" s="12"/>
      <c r="N972" s="6"/>
      <c r="X972" s="120"/>
    </row>
    <row r="973" spans="1:24" ht="13.2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K973" s="12"/>
      <c r="L973" s="12"/>
      <c r="M973" s="12"/>
      <c r="N973" s="6"/>
      <c r="X973" s="120"/>
    </row>
    <row r="974" spans="1:24" ht="13.2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K974" s="12"/>
      <c r="L974" s="12"/>
      <c r="M974" s="12"/>
      <c r="N974" s="6"/>
      <c r="X974" s="120"/>
    </row>
    <row r="975" spans="1:24" ht="13.2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K975" s="12"/>
      <c r="L975" s="12"/>
      <c r="M975" s="12"/>
      <c r="N975" s="6"/>
      <c r="X975" s="120"/>
    </row>
    <row r="976" spans="1:24" ht="13.2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K976" s="12"/>
      <c r="L976" s="12"/>
      <c r="M976" s="12"/>
      <c r="N976" s="6"/>
      <c r="X976" s="120"/>
    </row>
    <row r="977" spans="1:24" ht="13.2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K977" s="12"/>
      <c r="L977" s="12"/>
      <c r="M977" s="12"/>
      <c r="N977" s="6"/>
      <c r="X977" s="120"/>
    </row>
    <row r="978" spans="1:24" ht="13.2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K978" s="12"/>
      <c r="L978" s="12"/>
      <c r="M978" s="12"/>
      <c r="N978" s="6"/>
      <c r="X978" s="120"/>
    </row>
    <row r="979" spans="1:24" ht="13.2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K979" s="12"/>
      <c r="L979" s="12"/>
      <c r="M979" s="12"/>
      <c r="N979" s="6"/>
      <c r="X979" s="120"/>
    </row>
    <row r="980" spans="1:24" ht="13.2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K980" s="12"/>
      <c r="L980" s="12"/>
      <c r="M980" s="12"/>
      <c r="N980" s="6"/>
      <c r="X980" s="120"/>
    </row>
    <row r="981" spans="1:24" ht="13.2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K981" s="12"/>
      <c r="L981" s="12"/>
      <c r="M981" s="12"/>
      <c r="N981" s="6"/>
      <c r="X981" s="120"/>
    </row>
    <row r="982" spans="1:24" ht="13.2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K982" s="12"/>
      <c r="L982" s="12"/>
      <c r="M982" s="12"/>
      <c r="N982" s="6"/>
      <c r="X982" s="120"/>
    </row>
    <row r="983" spans="1:24" ht="13.2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K983" s="12"/>
      <c r="L983" s="12"/>
      <c r="M983" s="12"/>
      <c r="N983" s="6"/>
      <c r="X983" s="120"/>
    </row>
    <row r="984" spans="1:24" ht="13.2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K984" s="12"/>
      <c r="L984" s="12"/>
      <c r="M984" s="12"/>
      <c r="N984" s="6"/>
      <c r="X984" s="120"/>
    </row>
    <row r="985" spans="1:24" ht="13.2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K985" s="12"/>
      <c r="L985" s="12"/>
      <c r="M985" s="12"/>
      <c r="N985" s="6"/>
      <c r="X985" s="120"/>
    </row>
    <row r="986" spans="1:24" ht="13.2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K986" s="12"/>
      <c r="L986" s="12"/>
      <c r="M986" s="12"/>
      <c r="N986" s="6"/>
      <c r="X986" s="120"/>
    </row>
    <row r="987" spans="1:24" ht="13.2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K987" s="12"/>
      <c r="L987" s="12"/>
      <c r="M987" s="12"/>
      <c r="N987" s="6"/>
      <c r="X987" s="120"/>
    </row>
    <row r="988" spans="1:24" ht="13.2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K988" s="12"/>
      <c r="L988" s="12"/>
      <c r="M988" s="12"/>
      <c r="N988" s="6"/>
      <c r="X988" s="120"/>
    </row>
    <row r="989" spans="1:24" ht="13.2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K989" s="12"/>
      <c r="L989" s="12"/>
      <c r="M989" s="12"/>
      <c r="N989" s="6"/>
      <c r="X989" s="120"/>
    </row>
    <row r="990" spans="1:24" ht="13.2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K990" s="12"/>
      <c r="L990" s="12"/>
      <c r="M990" s="12"/>
      <c r="N990" s="6"/>
      <c r="X990" s="120"/>
    </row>
    <row r="991" spans="1:24" ht="13.2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K991" s="12"/>
      <c r="L991" s="12"/>
      <c r="M991" s="12"/>
      <c r="N991" s="6"/>
      <c r="X991" s="120"/>
    </row>
    <row r="992" spans="1:24" ht="13.2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K992" s="12"/>
      <c r="L992" s="12"/>
      <c r="M992" s="12"/>
      <c r="N992" s="6"/>
      <c r="X992" s="120"/>
    </row>
    <row r="993" spans="1:24" ht="13.2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K993" s="12"/>
      <c r="L993" s="12"/>
      <c r="M993" s="12"/>
      <c r="N993" s="6"/>
      <c r="X993" s="120"/>
    </row>
    <row r="994" spans="1:24" ht="13.2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K994" s="12"/>
      <c r="L994" s="12"/>
      <c r="M994" s="12"/>
      <c r="N994" s="6"/>
      <c r="X994" s="120"/>
    </row>
    <row r="995" spans="1:24" ht="13.2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K995" s="12"/>
      <c r="L995" s="12"/>
      <c r="M995" s="12"/>
      <c r="N995" s="6"/>
      <c r="X995" s="120"/>
    </row>
    <row r="996" spans="1:24" ht="13.2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K996" s="12"/>
      <c r="L996" s="12"/>
      <c r="M996" s="12"/>
      <c r="N996" s="6"/>
      <c r="X996" s="120"/>
    </row>
    <row r="997" spans="1:24" ht="13.2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K997" s="12"/>
      <c r="L997" s="12"/>
      <c r="M997" s="12"/>
      <c r="N997" s="6"/>
      <c r="X997" s="120"/>
    </row>
    <row r="998" spans="1:24" ht="13.2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K998" s="12"/>
      <c r="L998" s="12"/>
      <c r="M998" s="12"/>
      <c r="N998" s="6"/>
      <c r="X998" s="120"/>
    </row>
    <row r="999" spans="1:24" ht="13.2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K999" s="12"/>
      <c r="L999" s="12"/>
      <c r="M999" s="12"/>
      <c r="N999" s="6"/>
      <c r="X999" s="120"/>
    </row>
    <row r="1000" spans="1:24" ht="13.2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K1000" s="12"/>
      <c r="L1000" s="12"/>
      <c r="M1000" s="12"/>
      <c r="N1000" s="6"/>
      <c r="X1000" s="120"/>
    </row>
  </sheetData>
  <mergeCells count="23">
    <mergeCell ref="AD12:AE12"/>
    <mergeCell ref="P15:T15"/>
    <mergeCell ref="P16:Q16"/>
    <mergeCell ref="Q1:R1"/>
    <mergeCell ref="AC1:AD1"/>
    <mergeCell ref="R4:S4"/>
    <mergeCell ref="S6:U6"/>
    <mergeCell ref="AD22:AE22"/>
    <mergeCell ref="AD23:AF23"/>
    <mergeCell ref="AD24:AF24"/>
    <mergeCell ref="AD25:AF25"/>
    <mergeCell ref="AD28:AD34"/>
    <mergeCell ref="W71:Y71"/>
    <mergeCell ref="P7:Q7"/>
    <mergeCell ref="Q10:R10"/>
    <mergeCell ref="O11:Q11"/>
    <mergeCell ref="I12:J12"/>
    <mergeCell ref="I13:J13"/>
    <mergeCell ref="I14:J14"/>
    <mergeCell ref="P14:R14"/>
    <mergeCell ref="I8:J8"/>
    <mergeCell ref="I9:J9"/>
    <mergeCell ref="I7:J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5"/>
  <sheetViews>
    <sheetView topLeftCell="P10" workbookViewId="0">
      <selection activeCell="S37" sqref="S37"/>
    </sheetView>
  </sheetViews>
  <sheetFormatPr defaultColWidth="12.6640625" defaultRowHeight="15.75" customHeight="1" x14ac:dyDescent="0.25"/>
  <cols>
    <col min="1" max="1" width="5.21875" style="1" bestFit="1" customWidth="1"/>
    <col min="2" max="2" width="9.33203125" style="1" bestFit="1" customWidth="1"/>
    <col min="3" max="3" width="9.6640625" style="1" bestFit="1" customWidth="1"/>
    <col min="4" max="4" width="14.6640625" style="1" bestFit="1" customWidth="1"/>
    <col min="5" max="5" width="12.6640625" style="1"/>
    <col min="6" max="6" width="19.88671875" style="1" bestFit="1" customWidth="1"/>
    <col min="7" max="7" width="51.44140625" style="1" bestFit="1" customWidth="1"/>
    <col min="8" max="8" width="14.44140625" style="1" bestFit="1" customWidth="1"/>
    <col min="9" max="9" width="35.88671875" style="1" bestFit="1" customWidth="1"/>
    <col min="10" max="10" width="22.109375" style="1" bestFit="1" customWidth="1"/>
    <col min="11" max="11" width="12.6640625" style="1"/>
    <col min="12" max="12" width="26" style="1" bestFit="1" customWidth="1"/>
    <col min="13" max="13" width="26.109375" style="1" bestFit="1" customWidth="1"/>
    <col min="14" max="14" width="23.109375" style="1" bestFit="1" customWidth="1"/>
    <col min="15" max="15" width="27" style="1" bestFit="1" customWidth="1"/>
    <col min="16" max="16" width="20.5546875" style="1" bestFit="1" customWidth="1"/>
    <col min="17" max="17" width="9" style="1" bestFit="1" customWidth="1"/>
    <col min="18" max="18" width="41.6640625" style="1" customWidth="1"/>
    <col min="19" max="19" width="9.109375" style="1" customWidth="1"/>
    <col min="20" max="20" width="39.88671875" style="1" bestFit="1" customWidth="1"/>
    <col min="21" max="16384" width="12.6640625" style="1"/>
  </cols>
  <sheetData>
    <row r="1" spans="1:20" ht="15.75" customHeight="1" x14ac:dyDescent="0.4">
      <c r="A1" s="128" t="s">
        <v>85</v>
      </c>
      <c r="B1" s="128" t="s">
        <v>86</v>
      </c>
      <c r="C1" s="128" t="s">
        <v>87</v>
      </c>
      <c r="D1" s="128" t="s">
        <v>88</v>
      </c>
      <c r="F1" s="126">
        <v>1</v>
      </c>
      <c r="G1" s="127" t="s">
        <v>12</v>
      </c>
      <c r="H1" s="127"/>
      <c r="I1" s="127"/>
      <c r="J1" s="127"/>
      <c r="L1" s="217" t="s">
        <v>152</v>
      </c>
      <c r="M1" s="219" t="s">
        <v>153</v>
      </c>
      <c r="N1" s="219" t="s">
        <v>154</v>
      </c>
      <c r="O1" s="219" t="s">
        <v>155</v>
      </c>
      <c r="P1" s="219" t="s">
        <v>156</v>
      </c>
      <c r="Q1" s="239" t="s">
        <v>150</v>
      </c>
      <c r="R1" s="223" t="s">
        <v>157</v>
      </c>
    </row>
    <row r="2" spans="1:20" ht="17.399999999999999" x14ac:dyDescent="0.4">
      <c r="A2" s="203">
        <v>11</v>
      </c>
      <c r="B2" s="204">
        <v>111.28</v>
      </c>
      <c r="C2" s="204">
        <v>35.32</v>
      </c>
      <c r="D2" s="203">
        <v>9.18</v>
      </c>
      <c r="F2" s="126">
        <v>2</v>
      </c>
      <c r="G2" s="127" t="s">
        <v>10</v>
      </c>
      <c r="H2" s="127"/>
      <c r="I2" s="127"/>
      <c r="J2" s="127"/>
      <c r="L2" s="218">
        <f>A2*$G$20 + $H$20</f>
        <v>9.0588028169014088</v>
      </c>
      <c r="M2" s="218">
        <f>D2-L2</f>
        <v>0.12119718309859095</v>
      </c>
      <c r="N2" s="218">
        <f>ABS(M2)</f>
        <v>0.12119718309859095</v>
      </c>
      <c r="O2" s="221">
        <f>N2/D2</f>
        <v>1.3202307527079625E-2</v>
      </c>
      <c r="P2" s="218">
        <f>M2 ^ 2</f>
        <v>1.468875719103338E-2</v>
      </c>
      <c r="Q2" s="203">
        <f>(L2-$F$26)^2</f>
        <v>0.12758982761356877</v>
      </c>
      <c r="R2" s="222" t="s">
        <v>158</v>
      </c>
      <c r="S2" s="224"/>
      <c r="T2" s="231" t="s">
        <v>161</v>
      </c>
    </row>
    <row r="3" spans="1:20" ht="17.399999999999999" x14ac:dyDescent="0.4">
      <c r="A3" s="203">
        <v>12</v>
      </c>
      <c r="B3" s="204">
        <v>127.94</v>
      </c>
      <c r="C3" s="204">
        <v>42.75</v>
      </c>
      <c r="D3" s="203">
        <v>9.5</v>
      </c>
      <c r="F3" s="126">
        <v>3</v>
      </c>
      <c r="G3" s="127" t="s">
        <v>19</v>
      </c>
      <c r="H3" s="127"/>
      <c r="I3" s="127"/>
      <c r="J3" s="127"/>
      <c r="L3" s="218">
        <f t="shared" ref="L3:L31" si="0">A3*$G$20 + $H$20</f>
        <v>9.8242253521126752</v>
      </c>
      <c r="M3" s="218">
        <f t="shared" ref="M3:M31" si="1">D3-L3</f>
        <v>-0.32422535211267522</v>
      </c>
      <c r="N3" s="218">
        <f t="shared" ref="N3:N31" si="2">ABS(M3)</f>
        <v>0.32422535211267522</v>
      </c>
      <c r="O3" s="221">
        <f t="shared" ref="O3:O31" si="3">N3/D3</f>
        <v>3.4128984432913179E-2</v>
      </c>
      <c r="P3" s="218">
        <f t="shared" ref="P3:P31" si="4">M3 ^ 2</f>
        <v>0.10512207895258824</v>
      </c>
      <c r="Q3" s="203">
        <f t="shared" ref="Q3:Q31" si="5">(L3-$F$26)^2</f>
        <v>0.16664793810751738</v>
      </c>
      <c r="R3" s="1" t="s">
        <v>159</v>
      </c>
      <c r="S3" s="232">
        <f>CORREL($A$2:$A$31,$D$2:$D$31)</f>
        <v>0.8945752458442906</v>
      </c>
      <c r="T3" s="230" t="s">
        <v>160</v>
      </c>
    </row>
    <row r="4" spans="1:20" ht="15.6" x14ac:dyDescent="0.3">
      <c r="A4" s="203">
        <v>11</v>
      </c>
      <c r="B4" s="204">
        <v>97.74</v>
      </c>
      <c r="C4" s="204">
        <v>32.82</v>
      </c>
      <c r="D4" s="203">
        <v>9.2100000000000009</v>
      </c>
      <c r="L4" s="218">
        <f t="shared" si="0"/>
        <v>9.0588028169014088</v>
      </c>
      <c r="M4" s="218">
        <f t="shared" si="1"/>
        <v>0.15119718309859209</v>
      </c>
      <c r="N4" s="218">
        <f t="shared" si="2"/>
        <v>0.15119718309859209</v>
      </c>
      <c r="O4" s="221">
        <f t="shared" si="3"/>
        <v>1.6416632258261898E-2</v>
      </c>
      <c r="P4" s="218">
        <f t="shared" si="4"/>
        <v>2.2860588176949182E-2</v>
      </c>
      <c r="Q4" s="203">
        <f t="shared" si="5"/>
        <v>0.12758982761356877</v>
      </c>
      <c r="R4" s="222" t="s">
        <v>162</v>
      </c>
      <c r="T4" s="229" t="s">
        <v>164</v>
      </c>
    </row>
    <row r="5" spans="1:20" ht="14.4" x14ac:dyDescent="0.3">
      <c r="A5" s="203">
        <v>11</v>
      </c>
      <c r="B5" s="204">
        <v>121.14</v>
      </c>
      <c r="C5" s="204">
        <v>41.5</v>
      </c>
      <c r="D5" s="203">
        <v>9.25</v>
      </c>
      <c r="L5" s="218">
        <f t="shared" si="0"/>
        <v>9.0588028169014088</v>
      </c>
      <c r="M5" s="218">
        <f t="shared" si="1"/>
        <v>0.19119718309859124</v>
      </c>
      <c r="N5" s="218">
        <f t="shared" si="2"/>
        <v>0.19119718309859124</v>
      </c>
      <c r="O5" s="221">
        <f t="shared" si="3"/>
        <v>2.0669965740388242E-2</v>
      </c>
      <c r="P5" s="218">
        <f t="shared" si="4"/>
        <v>3.6556362824836222E-2</v>
      </c>
      <c r="Q5" s="203">
        <f t="shared" si="5"/>
        <v>0.12758982761356877</v>
      </c>
      <c r="R5" s="1" t="s">
        <v>163</v>
      </c>
      <c r="T5" s="228" t="s">
        <v>165</v>
      </c>
    </row>
    <row r="6" spans="1:20" ht="13.8" x14ac:dyDescent="0.25">
      <c r="A6" s="203">
        <v>11</v>
      </c>
      <c r="B6" s="204">
        <v>112.18</v>
      </c>
      <c r="C6" s="204">
        <v>37.68</v>
      </c>
      <c r="D6" s="203">
        <v>9.35</v>
      </c>
      <c r="F6" s="85"/>
      <c r="G6" s="205" t="s">
        <v>131</v>
      </c>
      <c r="H6" s="205" t="s">
        <v>129</v>
      </c>
      <c r="I6" s="85"/>
      <c r="J6" s="85"/>
      <c r="L6" s="218">
        <f t="shared" si="0"/>
        <v>9.0588028169014088</v>
      </c>
      <c r="M6" s="218">
        <f t="shared" si="1"/>
        <v>0.29119718309859088</v>
      </c>
      <c r="N6" s="218">
        <f t="shared" si="2"/>
        <v>0.29119718309859088</v>
      </c>
      <c r="O6" s="221">
        <f t="shared" si="3"/>
        <v>3.1144083753859988E-2</v>
      </c>
      <c r="P6" s="218">
        <f t="shared" si="4"/>
        <v>8.479579944455426E-2</v>
      </c>
      <c r="Q6" s="203">
        <f t="shared" si="5"/>
        <v>0.12758982761356877</v>
      </c>
    </row>
    <row r="7" spans="1:20" ht="13.8" x14ac:dyDescent="0.25">
      <c r="A7" s="203">
        <v>12</v>
      </c>
      <c r="B7" s="204">
        <v>140.75</v>
      </c>
      <c r="C7" s="204">
        <v>44.93</v>
      </c>
      <c r="D7" s="203">
        <v>9.66</v>
      </c>
      <c r="G7" s="129" t="s">
        <v>130</v>
      </c>
      <c r="H7" s="206">
        <f>CORREL($A$2:$A$31,$D$2:$D$31)</f>
        <v>0.8945752458442906</v>
      </c>
      <c r="J7" s="209" t="s">
        <v>136</v>
      </c>
      <c r="L7" s="218">
        <f t="shared" si="0"/>
        <v>9.8242253521126752</v>
      </c>
      <c r="M7" s="218">
        <f t="shared" si="1"/>
        <v>-0.16422535211267508</v>
      </c>
      <c r="N7" s="218">
        <f t="shared" si="2"/>
        <v>0.16422535211267508</v>
      </c>
      <c r="O7" s="221">
        <f t="shared" si="3"/>
        <v>1.7000554048931169E-2</v>
      </c>
      <c r="P7" s="218">
        <f t="shared" si="4"/>
        <v>2.6969966276532115E-2</v>
      </c>
      <c r="Q7" s="203">
        <f t="shared" si="5"/>
        <v>0.16664793810751738</v>
      </c>
    </row>
    <row r="8" spans="1:20" ht="13.8" x14ac:dyDescent="0.25">
      <c r="A8" s="203">
        <v>12</v>
      </c>
      <c r="B8" s="204">
        <v>131.19999999999999</v>
      </c>
      <c r="C8" s="204">
        <v>40.700000000000003</v>
      </c>
      <c r="D8" s="203">
        <v>10.43</v>
      </c>
      <c r="G8" s="129" t="s">
        <v>132</v>
      </c>
      <c r="H8" s="206">
        <f>CORREL($B$2:$B$31,$D$2:$D$31)</f>
        <v>7.1747228981996661E-2</v>
      </c>
      <c r="J8" s="210" t="s">
        <v>137</v>
      </c>
      <c r="L8" s="218">
        <f t="shared" si="0"/>
        <v>9.8242253521126752</v>
      </c>
      <c r="M8" s="218">
        <f t="shared" si="1"/>
        <v>0.60577464788732449</v>
      </c>
      <c r="N8" s="218">
        <f t="shared" si="2"/>
        <v>0.60577464788732449</v>
      </c>
      <c r="O8" s="221">
        <f t="shared" si="3"/>
        <v>5.8080023766761697E-2</v>
      </c>
      <c r="P8" s="218">
        <f t="shared" si="4"/>
        <v>0.36696292402301195</v>
      </c>
      <c r="Q8" s="203">
        <f t="shared" si="5"/>
        <v>0.16664793810751738</v>
      </c>
    </row>
    <row r="9" spans="1:20" ht="13.8" x14ac:dyDescent="0.25">
      <c r="A9" s="203">
        <v>11</v>
      </c>
      <c r="B9" s="204">
        <v>141.37</v>
      </c>
      <c r="C9" s="204">
        <v>42.69</v>
      </c>
      <c r="D9" s="203">
        <v>9.2100000000000009</v>
      </c>
      <c r="G9" s="129" t="s">
        <v>133</v>
      </c>
      <c r="H9" s="206">
        <f>CORREL($C$2:$C$31,$D$2:$D$31)</f>
        <v>0.10204354132225421</v>
      </c>
      <c r="J9" s="211" t="s">
        <v>137</v>
      </c>
      <c r="L9" s="218">
        <f t="shared" si="0"/>
        <v>9.0588028169014088</v>
      </c>
      <c r="M9" s="218">
        <f t="shared" si="1"/>
        <v>0.15119718309859209</v>
      </c>
      <c r="N9" s="218">
        <f t="shared" si="2"/>
        <v>0.15119718309859209</v>
      </c>
      <c r="O9" s="221">
        <f t="shared" si="3"/>
        <v>1.6416632258261898E-2</v>
      </c>
      <c r="P9" s="218">
        <f t="shared" si="4"/>
        <v>2.2860588176949182E-2</v>
      </c>
      <c r="Q9" s="203">
        <f t="shared" si="5"/>
        <v>0.12758982761356877</v>
      </c>
    </row>
    <row r="10" spans="1:20" ht="13.8" x14ac:dyDescent="0.25">
      <c r="A10" s="203">
        <v>12</v>
      </c>
      <c r="B10" s="204">
        <v>112.59</v>
      </c>
      <c r="C10" s="204">
        <v>38.049999999999997</v>
      </c>
      <c r="D10" s="203">
        <v>9.7799999999999994</v>
      </c>
      <c r="L10" s="218">
        <f t="shared" si="0"/>
        <v>9.8242253521126752</v>
      </c>
      <c r="M10" s="218">
        <f t="shared" si="1"/>
        <v>-4.4225352112675864E-2</v>
      </c>
      <c r="N10" s="218">
        <f t="shared" si="2"/>
        <v>4.4225352112675864E-2</v>
      </c>
      <c r="O10" s="221">
        <f t="shared" si="3"/>
        <v>4.52201964342289E-3</v>
      </c>
      <c r="P10" s="218">
        <f t="shared" si="4"/>
        <v>1.9558817694901635E-3</v>
      </c>
      <c r="Q10" s="203">
        <f t="shared" si="5"/>
        <v>0.16664793810751738</v>
      </c>
    </row>
    <row r="11" spans="1:20" ht="13.8" x14ac:dyDescent="0.25">
      <c r="A11" s="203">
        <v>12</v>
      </c>
      <c r="B11" s="204">
        <v>129.88</v>
      </c>
      <c r="C11" s="204">
        <v>42.73</v>
      </c>
      <c r="D11" s="203">
        <v>9.81</v>
      </c>
      <c r="G11" s="25">
        <v>-1</v>
      </c>
      <c r="H11" s="25" t="s">
        <v>142</v>
      </c>
      <c r="I11" s="25">
        <v>1</v>
      </c>
      <c r="L11" s="218">
        <f t="shared" si="0"/>
        <v>9.8242253521126752</v>
      </c>
      <c r="M11" s="218">
        <f t="shared" si="1"/>
        <v>-1.4225352112674727E-2</v>
      </c>
      <c r="N11" s="218">
        <f t="shared" si="2"/>
        <v>1.4225352112674727E-2</v>
      </c>
      <c r="O11" s="221">
        <f t="shared" si="3"/>
        <v>1.4500868616386061E-3</v>
      </c>
      <c r="P11" s="218">
        <f t="shared" si="4"/>
        <v>2.0236064272957934E-4</v>
      </c>
      <c r="Q11" s="203">
        <f t="shared" si="5"/>
        <v>0.16664793810751738</v>
      </c>
    </row>
    <row r="12" spans="1:20" ht="13.8" x14ac:dyDescent="0.25">
      <c r="A12" s="203">
        <v>11</v>
      </c>
      <c r="B12" s="204">
        <v>107.61</v>
      </c>
      <c r="C12" s="204">
        <v>35.43</v>
      </c>
      <c r="D12" s="203">
        <v>9.15</v>
      </c>
      <c r="G12" s="136" t="s">
        <v>44</v>
      </c>
      <c r="H12" s="316" t="s">
        <v>141</v>
      </c>
      <c r="I12" s="316"/>
      <c r="L12" s="218">
        <f t="shared" si="0"/>
        <v>9.0588028169014088</v>
      </c>
      <c r="M12" s="218">
        <f t="shared" si="1"/>
        <v>9.1197183098591594E-2</v>
      </c>
      <c r="N12" s="218">
        <f t="shared" si="2"/>
        <v>9.1197183098591594E-2</v>
      </c>
      <c r="O12" s="221">
        <f t="shared" si="3"/>
        <v>9.9669052566766763E-3</v>
      </c>
      <c r="P12" s="218">
        <f t="shared" si="4"/>
        <v>8.3169262051180411E-3</v>
      </c>
      <c r="Q12" s="203">
        <f t="shared" si="5"/>
        <v>0.12758982761356877</v>
      </c>
    </row>
    <row r="13" spans="1:20" ht="13.8" x14ac:dyDescent="0.25">
      <c r="A13" s="203">
        <v>12</v>
      </c>
      <c r="B13" s="204">
        <v>136.94999999999999</v>
      </c>
      <c r="C13" s="204">
        <v>41.21</v>
      </c>
      <c r="D13" s="203">
        <v>9.77</v>
      </c>
      <c r="G13" s="136" t="s">
        <v>49</v>
      </c>
      <c r="H13" s="316" t="s">
        <v>138</v>
      </c>
      <c r="I13" s="316"/>
      <c r="L13" s="218">
        <f t="shared" si="0"/>
        <v>9.8242253521126752</v>
      </c>
      <c r="M13" s="218">
        <f t="shared" si="1"/>
        <v>-5.4225352112675651E-2</v>
      </c>
      <c r="N13" s="218">
        <f t="shared" si="2"/>
        <v>5.4225352112675651E-2</v>
      </c>
      <c r="O13" s="221">
        <f t="shared" si="3"/>
        <v>5.5501895714099954E-3</v>
      </c>
      <c r="P13" s="218">
        <f t="shared" si="4"/>
        <v>2.9403888117436575E-3</v>
      </c>
      <c r="Q13" s="203">
        <f t="shared" si="5"/>
        <v>0.16664793810751738</v>
      </c>
    </row>
    <row r="14" spans="1:20" ht="13.8" x14ac:dyDescent="0.25">
      <c r="A14" s="203">
        <v>11</v>
      </c>
      <c r="B14" s="204">
        <v>112.3</v>
      </c>
      <c r="C14" s="204">
        <v>37.130000000000003</v>
      </c>
      <c r="D14" s="203">
        <v>9.24</v>
      </c>
      <c r="G14" s="136" t="s">
        <v>53</v>
      </c>
      <c r="H14" s="316" t="s">
        <v>140</v>
      </c>
      <c r="I14" s="316"/>
      <c r="L14" s="218">
        <f t="shared" si="0"/>
        <v>9.0588028169014088</v>
      </c>
      <c r="M14" s="218">
        <f t="shared" si="1"/>
        <v>0.18119718309859145</v>
      </c>
      <c r="N14" s="218">
        <f t="shared" si="2"/>
        <v>0.18119718309859145</v>
      </c>
      <c r="O14" s="221">
        <f t="shared" si="3"/>
        <v>1.9610084750929811E-2</v>
      </c>
      <c r="P14" s="218">
        <f t="shared" si="4"/>
        <v>3.2832419162864473E-2</v>
      </c>
      <c r="Q14" s="203">
        <f t="shared" si="5"/>
        <v>0.12758982761356877</v>
      </c>
    </row>
    <row r="15" spans="1:20" ht="13.8" x14ac:dyDescent="0.25">
      <c r="A15" s="203">
        <v>12</v>
      </c>
      <c r="B15" s="204">
        <v>129.26</v>
      </c>
      <c r="C15" s="204">
        <v>41.04</v>
      </c>
      <c r="D15" s="203">
        <v>9.85</v>
      </c>
      <c r="G15" s="7"/>
      <c r="H15" s="4"/>
      <c r="I15" s="4"/>
      <c r="L15" s="218">
        <f t="shared" si="0"/>
        <v>9.8242253521126752</v>
      </c>
      <c r="M15" s="218">
        <f t="shared" si="1"/>
        <v>2.577464788732442E-2</v>
      </c>
      <c r="N15" s="218">
        <f t="shared" si="2"/>
        <v>2.577464788732442E-2</v>
      </c>
      <c r="O15" s="221">
        <f t="shared" si="3"/>
        <v>2.616715521555779E-3</v>
      </c>
      <c r="P15" s="218">
        <f t="shared" si="4"/>
        <v>6.6433247371555724E-4</v>
      </c>
      <c r="Q15" s="203">
        <f t="shared" si="5"/>
        <v>0.16664793810751738</v>
      </c>
    </row>
    <row r="16" spans="1:20" ht="13.8" x14ac:dyDescent="0.25">
      <c r="A16" s="203">
        <v>11</v>
      </c>
      <c r="B16" s="204">
        <v>131.22</v>
      </c>
      <c r="C16" s="204">
        <v>45.06</v>
      </c>
      <c r="D16" s="203">
        <v>8.75</v>
      </c>
      <c r="G16" s="137" t="s">
        <v>56</v>
      </c>
      <c r="H16" s="138" t="s">
        <v>139</v>
      </c>
      <c r="I16" s="23"/>
      <c r="L16" s="218">
        <f t="shared" si="0"/>
        <v>9.0588028169014088</v>
      </c>
      <c r="M16" s="218">
        <f t="shared" si="1"/>
        <v>-0.30880281690140876</v>
      </c>
      <c r="N16" s="218">
        <f t="shared" si="2"/>
        <v>0.30880281690140876</v>
      </c>
      <c r="O16" s="221">
        <f t="shared" si="3"/>
        <v>3.5291750503018145E-2</v>
      </c>
      <c r="P16" s="218">
        <f t="shared" si="4"/>
        <v>9.5359179726244983E-2</v>
      </c>
      <c r="Q16" s="203">
        <f t="shared" si="5"/>
        <v>0.12758982761356877</v>
      </c>
    </row>
    <row r="17" spans="1:22" ht="13.8" x14ac:dyDescent="0.25">
      <c r="A17" s="203">
        <v>12</v>
      </c>
      <c r="B17" s="204">
        <v>133.96</v>
      </c>
      <c r="C17" s="204">
        <v>43.99</v>
      </c>
      <c r="D17" s="203">
        <v>9.98</v>
      </c>
      <c r="G17" s="137" t="s">
        <v>59</v>
      </c>
      <c r="H17" s="138" t="s">
        <v>138</v>
      </c>
      <c r="I17" s="23"/>
      <c r="L17" s="218">
        <f t="shared" si="0"/>
        <v>9.8242253521126752</v>
      </c>
      <c r="M17" s="218">
        <f t="shared" si="1"/>
        <v>0.1557746478873252</v>
      </c>
      <c r="N17" s="218">
        <f t="shared" si="2"/>
        <v>0.1557746478873252</v>
      </c>
      <c r="O17" s="221">
        <f t="shared" si="3"/>
        <v>1.5608682153038596E-2</v>
      </c>
      <c r="P17" s="218">
        <f t="shared" si="4"/>
        <v>2.4265740924420149E-2</v>
      </c>
      <c r="Q17" s="203">
        <f t="shared" si="5"/>
        <v>0.16664793810751738</v>
      </c>
    </row>
    <row r="18" spans="1:22" ht="13.8" x14ac:dyDescent="0.25">
      <c r="A18" s="203">
        <v>12</v>
      </c>
      <c r="B18" s="204">
        <v>121.3</v>
      </c>
      <c r="C18" s="204">
        <v>42.05</v>
      </c>
      <c r="D18" s="203">
        <v>10.07</v>
      </c>
      <c r="G18" s="207" t="s">
        <v>134</v>
      </c>
      <c r="H18" s="208" t="s">
        <v>135</v>
      </c>
      <c r="L18" s="218">
        <f t="shared" si="0"/>
        <v>9.8242253521126752</v>
      </c>
      <c r="M18" s="218">
        <f t="shared" si="1"/>
        <v>0.24577464788732506</v>
      </c>
      <c r="N18" s="218">
        <f t="shared" si="2"/>
        <v>0.24577464788732506</v>
      </c>
      <c r="O18" s="221">
        <f t="shared" si="3"/>
        <v>2.4406618459515896E-2</v>
      </c>
      <c r="P18" s="218">
        <f t="shared" si="4"/>
        <v>6.0405177544138614E-2</v>
      </c>
      <c r="Q18" s="203">
        <f t="shared" si="5"/>
        <v>0.16664793810751738</v>
      </c>
    </row>
    <row r="19" spans="1:22" ht="14.4" x14ac:dyDescent="0.3">
      <c r="A19" s="203">
        <v>12</v>
      </c>
      <c r="B19" s="204">
        <v>146.88999999999999</v>
      </c>
      <c r="C19" s="204">
        <v>44.2</v>
      </c>
      <c r="D19" s="203">
        <v>9.6300000000000008</v>
      </c>
      <c r="F19" s="212"/>
      <c r="G19" s="213" t="s">
        <v>151</v>
      </c>
      <c r="H19" s="212"/>
      <c r="I19" s="212"/>
      <c r="L19" s="218">
        <f t="shared" si="0"/>
        <v>9.8242253521126752</v>
      </c>
      <c r="M19" s="218">
        <f t="shared" si="1"/>
        <v>-0.19422535211267444</v>
      </c>
      <c r="N19" s="218">
        <f t="shared" si="2"/>
        <v>0.19422535211267444</v>
      </c>
      <c r="O19" s="221">
        <f t="shared" si="3"/>
        <v>2.0168780074005653E-2</v>
      </c>
      <c r="P19" s="218">
        <f t="shared" si="4"/>
        <v>3.7723487403292372E-2</v>
      </c>
      <c r="Q19" s="203">
        <f t="shared" si="5"/>
        <v>0.16664793810751738</v>
      </c>
    </row>
    <row r="20" spans="1:22" ht="16.8" x14ac:dyDescent="0.4">
      <c r="A20" s="203">
        <v>10</v>
      </c>
      <c r="B20" s="204">
        <v>125.4</v>
      </c>
      <c r="C20" s="204">
        <v>38.33</v>
      </c>
      <c r="D20" s="203">
        <v>8.3000000000000007</v>
      </c>
      <c r="F20" s="214" t="s">
        <v>144</v>
      </c>
      <c r="G20" s="1" cm="1">
        <f t="array" ref="G20:H24">LINEST($D$2:$D$31,$A$2:$A$31,TRUE,TRUE)</f>
        <v>0.76542253521126769</v>
      </c>
      <c r="H20" s="1">
        <v>0.63915492957746345</v>
      </c>
      <c r="I20" s="215" t="s">
        <v>143</v>
      </c>
      <c r="L20" s="218">
        <f t="shared" si="0"/>
        <v>8.2933802816901405</v>
      </c>
      <c r="M20" s="218">
        <f t="shared" si="1"/>
        <v>6.6197183098601897E-3</v>
      </c>
      <c r="N20" s="218">
        <f t="shared" si="2"/>
        <v>6.6197183098601897E-3</v>
      </c>
      <c r="O20" s="221">
        <f t="shared" si="3"/>
        <v>7.9755642287472161E-4</v>
      </c>
      <c r="P20" s="218">
        <f t="shared" si="4"/>
        <v>4.382067050189825E-5</v>
      </c>
      <c r="Q20" s="203">
        <f t="shared" si="5"/>
        <v>1.2602750319381091</v>
      </c>
    </row>
    <row r="21" spans="1:22" ht="16.8" x14ac:dyDescent="0.4">
      <c r="A21" s="203">
        <v>11</v>
      </c>
      <c r="B21" s="204">
        <v>128.97999999999999</v>
      </c>
      <c r="C21" s="204">
        <v>43.41</v>
      </c>
      <c r="D21" s="203">
        <v>8.7799999999999994</v>
      </c>
      <c r="F21" s="214" t="s">
        <v>145</v>
      </c>
      <c r="G21" s="1">
        <v>7.2265760932761075E-2</v>
      </c>
      <c r="H21" s="1">
        <v>0.82964115060703858</v>
      </c>
      <c r="I21" s="215" t="s">
        <v>146</v>
      </c>
      <c r="L21" s="218">
        <f t="shared" si="0"/>
        <v>9.0588028169014088</v>
      </c>
      <c r="M21" s="218">
        <f t="shared" si="1"/>
        <v>-0.2788028169014094</v>
      </c>
      <c r="N21" s="218">
        <f t="shared" si="2"/>
        <v>0.2788028169014094</v>
      </c>
      <c r="O21" s="221">
        <f t="shared" si="3"/>
        <v>3.1754307164169639E-2</v>
      </c>
      <c r="P21" s="218">
        <f t="shared" si="4"/>
        <v>7.773101071216082E-2</v>
      </c>
      <c r="Q21" s="203">
        <f t="shared" si="5"/>
        <v>0.12758982761356877</v>
      </c>
    </row>
    <row r="22" spans="1:22" ht="16.8" customHeight="1" x14ac:dyDescent="0.4">
      <c r="A22" s="203">
        <v>12</v>
      </c>
      <c r="B22" s="204">
        <v>120.81</v>
      </c>
      <c r="C22" s="204">
        <v>42.64</v>
      </c>
      <c r="D22" s="203">
        <v>10.09</v>
      </c>
      <c r="F22" s="214" t="s">
        <v>147</v>
      </c>
      <c r="G22" s="1">
        <v>0.80026487047737316</v>
      </c>
      <c r="H22" s="1">
        <v>0.22234692245124787</v>
      </c>
      <c r="I22" s="216" t="s">
        <v>61</v>
      </c>
      <c r="L22" s="218">
        <f t="shared" si="0"/>
        <v>9.8242253521126752</v>
      </c>
      <c r="M22" s="218">
        <f t="shared" si="1"/>
        <v>0.26577464788732463</v>
      </c>
      <c r="N22" s="218">
        <f t="shared" si="2"/>
        <v>0.26577464788732463</v>
      </c>
      <c r="O22" s="221">
        <f t="shared" si="3"/>
        <v>2.6340401178129299E-2</v>
      </c>
      <c r="P22" s="218">
        <f t="shared" si="4"/>
        <v>7.063616345963139E-2</v>
      </c>
      <c r="Q22" s="203">
        <f t="shared" si="5"/>
        <v>0.16664793810751738</v>
      </c>
      <c r="R22" s="222" t="s">
        <v>166</v>
      </c>
      <c r="T22" s="229" t="s">
        <v>168</v>
      </c>
      <c r="V22" s="331"/>
    </row>
    <row r="23" spans="1:22" ht="16.8" x14ac:dyDescent="0.4">
      <c r="A23" s="203">
        <v>12</v>
      </c>
      <c r="B23" s="204">
        <v>104.78</v>
      </c>
      <c r="C23" s="204">
        <v>35.96</v>
      </c>
      <c r="D23" s="203">
        <v>9.73</v>
      </c>
      <c r="F23" s="214" t="s">
        <v>148</v>
      </c>
      <c r="G23" s="1">
        <v>112.18565520707789</v>
      </c>
      <c r="H23" s="1">
        <v>28</v>
      </c>
      <c r="I23" s="216" t="s">
        <v>149</v>
      </c>
      <c r="L23" s="218">
        <f t="shared" si="0"/>
        <v>9.8242253521126752</v>
      </c>
      <c r="M23" s="218">
        <f t="shared" si="1"/>
        <v>-9.4225352112674798E-2</v>
      </c>
      <c r="N23" s="218">
        <f t="shared" si="2"/>
        <v>9.4225352112674798E-2</v>
      </c>
      <c r="O23" s="221">
        <f t="shared" si="3"/>
        <v>9.6840033003776759E-3</v>
      </c>
      <c r="P23" s="218">
        <f t="shared" si="4"/>
        <v>8.8784169807575499E-3</v>
      </c>
      <c r="Q23" s="203">
        <f t="shared" si="5"/>
        <v>0.16664793810751738</v>
      </c>
      <c r="R23" s="1" t="s">
        <v>167</v>
      </c>
      <c r="T23" s="228" t="s">
        <v>169</v>
      </c>
      <c r="V23" s="332"/>
    </row>
    <row r="24" spans="1:22" ht="16.8" x14ac:dyDescent="0.4">
      <c r="A24" s="203">
        <v>12</v>
      </c>
      <c r="B24" s="204">
        <v>136.52000000000001</v>
      </c>
      <c r="C24" s="204">
        <v>42.32</v>
      </c>
      <c r="D24" s="203">
        <v>9.56</v>
      </c>
      <c r="F24" s="214" t="s">
        <v>150</v>
      </c>
      <c r="G24" s="1">
        <v>5.5462516901408421</v>
      </c>
      <c r="H24" s="1">
        <v>1.3842683098591546</v>
      </c>
      <c r="I24" s="216" t="s">
        <v>116</v>
      </c>
      <c r="L24" s="218">
        <f t="shared" si="0"/>
        <v>9.8242253521126752</v>
      </c>
      <c r="M24" s="218">
        <f t="shared" si="1"/>
        <v>-0.26422535211267473</v>
      </c>
      <c r="N24" s="218">
        <f t="shared" si="2"/>
        <v>0.26422535211267473</v>
      </c>
      <c r="O24" s="221">
        <f t="shared" si="3"/>
        <v>2.7638635158229573E-2</v>
      </c>
      <c r="P24" s="218">
        <f t="shared" si="4"/>
        <v>6.981503669906694E-2</v>
      </c>
      <c r="Q24" s="203">
        <f t="shared" si="5"/>
        <v>0.16664793810751738</v>
      </c>
      <c r="V24" s="332"/>
    </row>
    <row r="25" spans="1:22" ht="15.6" x14ac:dyDescent="0.3">
      <c r="A25" s="203">
        <v>12</v>
      </c>
      <c r="B25" s="204">
        <v>117.38</v>
      </c>
      <c r="C25" s="204">
        <v>36.450000000000003</v>
      </c>
      <c r="D25" s="203">
        <v>9.73</v>
      </c>
      <c r="E25" s="238"/>
      <c r="F25" s="237" t="s">
        <v>176</v>
      </c>
      <c r="L25" s="218">
        <f t="shared" si="0"/>
        <v>9.8242253521126752</v>
      </c>
      <c r="M25" s="218">
        <f t="shared" si="1"/>
        <v>-9.4225352112674798E-2</v>
      </c>
      <c r="N25" s="218">
        <f t="shared" si="2"/>
        <v>9.4225352112674798E-2</v>
      </c>
      <c r="O25" s="221">
        <f t="shared" si="3"/>
        <v>9.6840033003776759E-3</v>
      </c>
      <c r="P25" s="218">
        <f t="shared" si="4"/>
        <v>8.8784169807575499E-3</v>
      </c>
      <c r="Q25" s="203">
        <f t="shared" si="5"/>
        <v>0.16664793810751738</v>
      </c>
      <c r="R25" s="222" t="s">
        <v>170</v>
      </c>
      <c r="T25" s="231" t="s">
        <v>161</v>
      </c>
      <c r="V25" s="332"/>
    </row>
    <row r="26" spans="1:22" ht="13.8" x14ac:dyDescent="0.25">
      <c r="A26" s="203">
        <v>12</v>
      </c>
      <c r="B26" s="204">
        <v>124.04</v>
      </c>
      <c r="C26" s="204">
        <v>40.24</v>
      </c>
      <c r="D26" s="203">
        <v>9.7799999999999994</v>
      </c>
      <c r="F26" s="224">
        <f>AVERAGE($D$2:$D$31)</f>
        <v>9.4160000000000004</v>
      </c>
      <c r="L26" s="218">
        <f t="shared" si="0"/>
        <v>9.8242253521126752</v>
      </c>
      <c r="M26" s="218">
        <f t="shared" si="1"/>
        <v>-4.4225352112675864E-2</v>
      </c>
      <c r="N26" s="218">
        <f t="shared" si="2"/>
        <v>4.4225352112675864E-2</v>
      </c>
      <c r="O26" s="221">
        <f t="shared" si="3"/>
        <v>4.52201964342289E-3</v>
      </c>
      <c r="P26" s="218">
        <f t="shared" si="4"/>
        <v>1.9558817694901635E-3</v>
      </c>
      <c r="Q26" s="203">
        <f t="shared" si="5"/>
        <v>0.16664793810751738</v>
      </c>
      <c r="R26" s="1" t="s">
        <v>60</v>
      </c>
      <c r="S26" s="225">
        <f>AVERAGE($O$2:$O$31)</f>
        <v>1.890586048925209E-2</v>
      </c>
      <c r="T26" s="223" t="s">
        <v>171</v>
      </c>
      <c r="V26" s="332"/>
    </row>
    <row r="27" spans="1:22" ht="13.8" x14ac:dyDescent="0.25">
      <c r="A27" s="203">
        <v>11</v>
      </c>
      <c r="B27" s="204">
        <v>119.5</v>
      </c>
      <c r="C27" s="204">
        <v>38.869999999999997</v>
      </c>
      <c r="D27" s="203">
        <v>9.25</v>
      </c>
      <c r="L27" s="218">
        <f t="shared" si="0"/>
        <v>9.0588028169014088</v>
      </c>
      <c r="M27" s="218">
        <f t="shared" si="1"/>
        <v>0.19119718309859124</v>
      </c>
      <c r="N27" s="218">
        <f t="shared" si="2"/>
        <v>0.19119718309859124</v>
      </c>
      <c r="O27" s="221">
        <f t="shared" si="3"/>
        <v>2.0669965740388242E-2</v>
      </c>
      <c r="P27" s="218">
        <f t="shared" si="4"/>
        <v>3.6556362824836222E-2</v>
      </c>
      <c r="Q27" s="203">
        <f t="shared" si="5"/>
        <v>0.12758982761356877</v>
      </c>
      <c r="R27" s="1" t="s">
        <v>61</v>
      </c>
      <c r="S27" s="234">
        <f>SQRT(AVERAGE($P$2:$P$31))</f>
        <v>0.21480753477311998</v>
      </c>
      <c r="V27" s="332"/>
    </row>
    <row r="28" spans="1:22" ht="13.8" x14ac:dyDescent="0.25">
      <c r="A28" s="203">
        <v>11</v>
      </c>
      <c r="B28" s="204">
        <v>110.67</v>
      </c>
      <c r="C28" s="204">
        <v>38.6</v>
      </c>
      <c r="D28" s="203">
        <v>8.8000000000000007</v>
      </c>
      <c r="L28" s="218">
        <f t="shared" si="0"/>
        <v>9.0588028169014088</v>
      </c>
      <c r="M28" s="218">
        <f t="shared" si="1"/>
        <v>-0.25880281690140805</v>
      </c>
      <c r="N28" s="218">
        <f t="shared" si="2"/>
        <v>0.25880281690140805</v>
      </c>
      <c r="O28" s="221">
        <f t="shared" si="3"/>
        <v>2.940941101152364E-2</v>
      </c>
      <c r="P28" s="218">
        <f t="shared" si="4"/>
        <v>6.697889803610374E-2</v>
      </c>
      <c r="Q28" s="203">
        <f t="shared" si="5"/>
        <v>0.12758982761356877</v>
      </c>
      <c r="S28" s="223"/>
      <c r="V28" s="332"/>
    </row>
    <row r="29" spans="1:22" ht="13.8" x14ac:dyDescent="0.25">
      <c r="A29" s="203">
        <v>11</v>
      </c>
      <c r="B29" s="204">
        <v>116.72</v>
      </c>
      <c r="C29" s="204">
        <v>36.14</v>
      </c>
      <c r="D29" s="203">
        <v>8.89</v>
      </c>
      <c r="L29" s="218">
        <f t="shared" si="0"/>
        <v>9.0588028169014088</v>
      </c>
      <c r="M29" s="218">
        <f t="shared" si="1"/>
        <v>-0.16880281690140819</v>
      </c>
      <c r="N29" s="218">
        <f t="shared" si="2"/>
        <v>0.16880281690140819</v>
      </c>
      <c r="O29" s="221">
        <f t="shared" si="3"/>
        <v>1.8987943408482359E-2</v>
      </c>
      <c r="P29" s="218">
        <f t="shared" si="4"/>
        <v>2.849439099385034E-2</v>
      </c>
      <c r="Q29" s="203">
        <f t="shared" si="5"/>
        <v>0.12758982761356877</v>
      </c>
      <c r="S29" s="223"/>
    </row>
    <row r="30" spans="1:22" ht="15.6" x14ac:dyDescent="0.3">
      <c r="A30" s="203">
        <v>11</v>
      </c>
      <c r="B30" s="204">
        <v>138.55000000000001</v>
      </c>
      <c r="C30" s="204">
        <v>45.23</v>
      </c>
      <c r="D30" s="203">
        <v>8.85</v>
      </c>
      <c r="L30" s="218">
        <f t="shared" si="0"/>
        <v>9.0588028169014088</v>
      </c>
      <c r="M30" s="218">
        <f t="shared" si="1"/>
        <v>-0.20880281690140912</v>
      </c>
      <c r="N30" s="218">
        <f t="shared" si="2"/>
        <v>0.20880281690140912</v>
      </c>
      <c r="O30" s="221">
        <f t="shared" si="3"/>
        <v>2.3593538632927586E-2</v>
      </c>
      <c r="P30" s="218">
        <f t="shared" si="4"/>
        <v>4.3598616345963383E-2</v>
      </c>
      <c r="Q30" s="203">
        <f t="shared" si="5"/>
        <v>0.12758982761356877</v>
      </c>
      <c r="R30" s="222" t="s">
        <v>173</v>
      </c>
      <c r="S30" s="223"/>
      <c r="T30" s="231" t="s">
        <v>161</v>
      </c>
    </row>
    <row r="31" spans="1:22" ht="13.8" x14ac:dyDescent="0.25">
      <c r="A31" s="203">
        <v>11</v>
      </c>
      <c r="B31" s="204">
        <v>146.61000000000001</v>
      </c>
      <c r="C31" s="204">
        <v>45.35</v>
      </c>
      <c r="D31" s="203">
        <v>8.9</v>
      </c>
      <c r="L31" s="218">
        <f t="shared" si="0"/>
        <v>9.0588028169014088</v>
      </c>
      <c r="M31" s="218">
        <f t="shared" si="1"/>
        <v>-0.15880281690140841</v>
      </c>
      <c r="N31" s="218">
        <f t="shared" si="2"/>
        <v>0.15880281690140841</v>
      </c>
      <c r="O31" s="221">
        <f t="shared" si="3"/>
        <v>1.7843013134989708E-2</v>
      </c>
      <c r="P31" s="218">
        <f t="shared" si="4"/>
        <v>2.5218334655822242E-2</v>
      </c>
      <c r="Q31" s="203">
        <f t="shared" si="5"/>
        <v>0.12758982761356877</v>
      </c>
      <c r="R31" s="1" t="s">
        <v>177</v>
      </c>
      <c r="S31" s="240">
        <f>(SUM($P$2:$P$31)+SUM($Q$2:$Q$31))</f>
        <v>6.930519999999988</v>
      </c>
    </row>
    <row r="32" spans="1:22" ht="15.75" customHeight="1" x14ac:dyDescent="0.25">
      <c r="R32" s="1" t="s">
        <v>178</v>
      </c>
      <c r="S32" s="220">
        <f>(SUM($Q$2:$Q$31) / S31)</f>
        <v>0.80026487047737294</v>
      </c>
      <c r="T32" s="223" t="s">
        <v>172</v>
      </c>
    </row>
    <row r="33" spans="18:20" ht="15.75" customHeight="1" x14ac:dyDescent="0.25">
      <c r="R33" s="1" t="s">
        <v>179</v>
      </c>
      <c r="S33" s="220">
        <f>1-S32</f>
        <v>0.19973512952262706</v>
      </c>
      <c r="T33" s="223" t="s">
        <v>180</v>
      </c>
    </row>
    <row r="34" spans="18:20" ht="15.75" customHeight="1" x14ac:dyDescent="0.25">
      <c r="R34" s="235" t="s">
        <v>174</v>
      </c>
      <c r="S34" s="236"/>
      <c r="T34" s="235" t="s">
        <v>175</v>
      </c>
    </row>
    <row r="35" spans="18:20" ht="15.75" customHeight="1" x14ac:dyDescent="0.25">
      <c r="T35" s="224"/>
    </row>
  </sheetData>
  <mergeCells count="4">
    <mergeCell ref="H12:I12"/>
    <mergeCell ref="H13:I13"/>
    <mergeCell ref="H14:I14"/>
    <mergeCell ref="V22:V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224"/>
  <sheetViews>
    <sheetView topLeftCell="W37" workbookViewId="0">
      <selection activeCell="J39" sqref="J39"/>
    </sheetView>
  </sheetViews>
  <sheetFormatPr defaultColWidth="12.6640625" defaultRowHeight="15.75" customHeight="1" x14ac:dyDescent="0.25"/>
  <cols>
    <col min="1" max="5" width="12.6640625" style="1"/>
    <col min="6" max="6" width="14.88671875" style="1" customWidth="1"/>
    <col min="7" max="7" width="24.77734375" style="1" customWidth="1"/>
    <col min="8" max="8" width="24.6640625" style="1" customWidth="1"/>
    <col min="9" max="9" width="19.77734375" style="1" bestFit="1" customWidth="1"/>
    <col min="10" max="10" width="35.77734375" style="1" bestFit="1" customWidth="1"/>
    <col min="11" max="11" width="12.6640625" style="1"/>
    <col min="12" max="12" width="20.21875" style="1" bestFit="1" customWidth="1"/>
    <col min="13" max="13" width="14.88671875" style="1" bestFit="1" customWidth="1"/>
    <col min="14" max="14" width="18" style="1" bestFit="1" customWidth="1"/>
    <col min="15" max="15" width="20" style="1" bestFit="1" customWidth="1"/>
    <col min="16" max="16" width="31.88671875" style="1" bestFit="1" customWidth="1"/>
    <col min="17" max="17" width="28.109375" style="1" bestFit="1" customWidth="1"/>
    <col min="18" max="18" width="20.109375" style="1" bestFit="1" customWidth="1"/>
    <col min="19" max="22" width="12.6640625" style="1"/>
    <col min="23" max="23" width="45.109375" style="1" bestFit="1" customWidth="1"/>
    <col min="24" max="24" width="16.44140625" style="1" bestFit="1" customWidth="1"/>
    <col min="25" max="25" width="3.109375" style="1" customWidth="1"/>
    <col min="26" max="26" width="18.44140625" style="1" bestFit="1" customWidth="1"/>
    <col min="27" max="27" width="112.44140625" style="1" bestFit="1" customWidth="1"/>
    <col min="28" max="16384" width="12.6640625" style="1"/>
  </cols>
  <sheetData>
    <row r="1" spans="1:27" ht="15.75" customHeight="1" x14ac:dyDescent="0.4">
      <c r="A1" s="130" t="s">
        <v>89</v>
      </c>
      <c r="B1" s="130" t="s">
        <v>102</v>
      </c>
      <c r="C1" s="130" t="s">
        <v>90</v>
      </c>
      <c r="D1" s="130" t="s">
        <v>91</v>
      </c>
      <c r="F1" s="133">
        <v>1</v>
      </c>
      <c r="G1" s="258" t="s">
        <v>12</v>
      </c>
      <c r="H1" s="258"/>
      <c r="I1" s="258"/>
      <c r="J1" s="132"/>
      <c r="L1" s="262" t="s">
        <v>194</v>
      </c>
      <c r="M1" s="262" t="s">
        <v>195</v>
      </c>
      <c r="N1" s="263" t="s">
        <v>196</v>
      </c>
      <c r="O1" s="263" t="s">
        <v>199</v>
      </c>
      <c r="P1" s="263" t="s">
        <v>200</v>
      </c>
      <c r="Q1" s="263" t="s">
        <v>201</v>
      </c>
      <c r="R1" s="263" t="s">
        <v>202</v>
      </c>
      <c r="S1" s="263" t="s">
        <v>150</v>
      </c>
    </row>
    <row r="2" spans="1:27" ht="13.8" x14ac:dyDescent="0.25">
      <c r="A2" s="131">
        <v>62</v>
      </c>
      <c r="B2" s="131">
        <v>24</v>
      </c>
      <c r="C2" s="131">
        <v>21</v>
      </c>
      <c r="D2" s="131">
        <v>55648</v>
      </c>
      <c r="F2" s="133">
        <v>2</v>
      </c>
      <c r="G2" s="258" t="s">
        <v>10</v>
      </c>
      <c r="H2" s="258"/>
      <c r="I2" s="258"/>
      <c r="J2" s="132"/>
      <c r="L2" s="223">
        <v>24</v>
      </c>
      <c r="M2" s="223">
        <v>55648</v>
      </c>
      <c r="N2" s="129">
        <f>L2 * $H$20 +$I$20</f>
        <v>52129.283716734317</v>
      </c>
      <c r="O2" s="129">
        <f>M2-N2</f>
        <v>3518.7162832656832</v>
      </c>
      <c r="P2" s="129">
        <f>ABS(O2)</f>
        <v>3518.7162832656832</v>
      </c>
      <c r="Q2" s="220">
        <f>P2/M2</f>
        <v>6.3231675590599543E-2</v>
      </c>
      <c r="R2" s="129">
        <f>O2 ^ 2</f>
        <v>12381364.282119064</v>
      </c>
      <c r="S2" s="1">
        <f>(N2-$I$26)^2</f>
        <v>143949195.28027731</v>
      </c>
    </row>
    <row r="3" spans="1:27" ht="13.8" x14ac:dyDescent="0.25">
      <c r="A3" s="131">
        <v>61</v>
      </c>
      <c r="B3" s="131">
        <v>33</v>
      </c>
      <c r="C3" s="131">
        <v>17</v>
      </c>
      <c r="D3" s="131">
        <v>64646</v>
      </c>
      <c r="F3" s="133">
        <v>3</v>
      </c>
      <c r="G3" s="258" t="s">
        <v>19</v>
      </c>
      <c r="H3" s="258"/>
      <c r="I3" s="258"/>
      <c r="J3" s="132"/>
      <c r="L3" s="223">
        <v>33</v>
      </c>
      <c r="M3" s="223">
        <v>64646</v>
      </c>
      <c r="N3" s="129">
        <f t="shared" ref="N3:N31" si="0">L3 * $H$20 +$I$20</f>
        <v>65972.994812810095</v>
      </c>
      <c r="O3" s="129">
        <f t="shared" ref="O3:O31" si="1">M3-N3</f>
        <v>-1326.994812810095</v>
      </c>
      <c r="P3" s="129">
        <f t="shared" ref="P3:P31" si="2">ABS(O3)</f>
        <v>1326.994812810095</v>
      </c>
      <c r="Q3" s="220">
        <f t="shared" ref="Q3:Q31" si="3">P3/M3</f>
        <v>2.0527098549176979E-2</v>
      </c>
      <c r="R3" s="129">
        <f t="shared" ref="R3:R31" si="4">O3 ^ 2</f>
        <v>1760915.233224899</v>
      </c>
      <c r="S3" s="1">
        <f t="shared" ref="S3:S31" si="5">(N3-$I$26)^2</f>
        <v>3407081.5450952942</v>
      </c>
    </row>
    <row r="4" spans="1:27" ht="15.6" x14ac:dyDescent="0.3">
      <c r="A4" s="131">
        <v>61</v>
      </c>
      <c r="B4" s="131">
        <v>33</v>
      </c>
      <c r="C4" s="131">
        <v>17</v>
      </c>
      <c r="D4" s="131">
        <v>64528</v>
      </c>
      <c r="F4" s="133">
        <v>4</v>
      </c>
      <c r="G4" s="258" t="s">
        <v>92</v>
      </c>
      <c r="H4" s="258"/>
      <c r="I4" s="258"/>
      <c r="J4" s="132"/>
      <c r="L4" s="223">
        <v>33</v>
      </c>
      <c r="M4" s="223">
        <v>64528</v>
      </c>
      <c r="N4" s="129">
        <f t="shared" si="0"/>
        <v>65972.994812810095</v>
      </c>
      <c r="O4" s="129">
        <f t="shared" si="1"/>
        <v>-1444.994812810095</v>
      </c>
      <c r="P4" s="129">
        <f t="shared" si="2"/>
        <v>1444.994812810095</v>
      </c>
      <c r="Q4" s="220">
        <f t="shared" si="3"/>
        <v>2.2393299231497878E-2</v>
      </c>
      <c r="R4" s="129">
        <f t="shared" si="4"/>
        <v>2088010.0090480815</v>
      </c>
      <c r="S4" s="1">
        <f t="shared" si="5"/>
        <v>3407081.5450952942</v>
      </c>
      <c r="W4" s="233" t="s">
        <v>158</v>
      </c>
      <c r="X4" s="266"/>
      <c r="Y4" s="266"/>
      <c r="Z4" s="268"/>
      <c r="AA4" s="268" t="s">
        <v>203</v>
      </c>
    </row>
    <row r="5" spans="1:27" ht="15.6" x14ac:dyDescent="0.3">
      <c r="A5" s="131">
        <v>62</v>
      </c>
      <c r="B5" s="131">
        <v>42</v>
      </c>
      <c r="C5" s="131">
        <v>17</v>
      </c>
      <c r="D5" s="131">
        <v>80565</v>
      </c>
      <c r="L5" s="223">
        <v>42</v>
      </c>
      <c r="M5" s="223">
        <v>80565</v>
      </c>
      <c r="N5" s="129">
        <f t="shared" si="0"/>
        <v>79816.705908885866</v>
      </c>
      <c r="O5" s="129">
        <f t="shared" si="1"/>
        <v>748.29409111413406</v>
      </c>
      <c r="P5" s="129">
        <f t="shared" si="2"/>
        <v>748.29409111413406</v>
      </c>
      <c r="Q5" s="220">
        <f t="shared" si="3"/>
        <v>9.2880790804212004E-3</v>
      </c>
      <c r="R5" s="129">
        <f t="shared" si="4"/>
        <v>559944.04679632792</v>
      </c>
      <c r="S5" s="1">
        <f t="shared" si="5"/>
        <v>246161641.63313627</v>
      </c>
      <c r="W5" s="264" t="s">
        <v>159</v>
      </c>
      <c r="X5" s="267">
        <f>CORREL($B$2:$B$31,$D$2:$D$31)</f>
        <v>0.9903466003472281</v>
      </c>
      <c r="Y5" s="266"/>
      <c r="Z5" s="271" t="s">
        <v>204</v>
      </c>
      <c r="AA5" s="271" t="s">
        <v>205</v>
      </c>
    </row>
    <row r="6" spans="1:27" ht="15" x14ac:dyDescent="0.25">
      <c r="A6" s="131">
        <v>62</v>
      </c>
      <c r="B6" s="131">
        <v>32</v>
      </c>
      <c r="C6" s="131">
        <v>16</v>
      </c>
      <c r="D6" s="131">
        <v>61248</v>
      </c>
      <c r="L6" s="223">
        <v>32</v>
      </c>
      <c r="M6" s="223">
        <v>61248</v>
      </c>
      <c r="N6" s="129">
        <f t="shared" si="0"/>
        <v>64434.804691023899</v>
      </c>
      <c r="O6" s="129">
        <f t="shared" si="1"/>
        <v>-3186.8046910238991</v>
      </c>
      <c r="P6" s="129">
        <f t="shared" si="2"/>
        <v>3186.8046910238991</v>
      </c>
      <c r="Q6" s="220">
        <f t="shared" si="3"/>
        <v>5.2031163320008803E-2</v>
      </c>
      <c r="R6" s="129">
        <f t="shared" si="4"/>
        <v>10155724.138731929</v>
      </c>
      <c r="S6" s="1">
        <f t="shared" si="5"/>
        <v>94641.154030422607</v>
      </c>
      <c r="W6" s="233" t="s">
        <v>162</v>
      </c>
      <c r="X6" s="265"/>
      <c r="Y6" s="265"/>
      <c r="Z6" s="270"/>
      <c r="AA6" s="270"/>
    </row>
    <row r="7" spans="1:27" ht="13.8" x14ac:dyDescent="0.25">
      <c r="A7" s="131">
        <v>62</v>
      </c>
      <c r="B7" s="131">
        <v>21</v>
      </c>
      <c r="C7" s="131">
        <v>20</v>
      </c>
      <c r="D7" s="131">
        <v>47292</v>
      </c>
      <c r="L7" s="223">
        <v>21</v>
      </c>
      <c r="M7" s="223">
        <v>47292</v>
      </c>
      <c r="N7" s="129">
        <f t="shared" si="0"/>
        <v>47514.713351375722</v>
      </c>
      <c r="O7" s="129">
        <f t="shared" si="1"/>
        <v>-222.71335137572169</v>
      </c>
      <c r="P7" s="129">
        <f t="shared" si="2"/>
        <v>222.71335137572169</v>
      </c>
      <c r="Q7" s="220">
        <f t="shared" si="3"/>
        <v>4.7093240162336481E-3</v>
      </c>
      <c r="R7" s="129">
        <f t="shared" si="4"/>
        <v>49601.236881005672</v>
      </c>
      <c r="S7" s="1">
        <f t="shared" si="5"/>
        <v>275973605.15272105</v>
      </c>
      <c r="W7" s="269" t="s">
        <v>163</v>
      </c>
      <c r="X7" s="265"/>
      <c r="Y7" s="265"/>
      <c r="Z7" s="271" t="s">
        <v>204</v>
      </c>
      <c r="AA7" s="271" t="s">
        <v>206</v>
      </c>
    </row>
    <row r="8" spans="1:27" ht="13.8" x14ac:dyDescent="0.25">
      <c r="A8" s="131">
        <v>73</v>
      </c>
      <c r="B8" s="131">
        <v>54</v>
      </c>
      <c r="C8" s="131">
        <v>27</v>
      </c>
      <c r="D8" s="131">
        <v>99922</v>
      </c>
      <c r="L8" s="223">
        <v>54</v>
      </c>
      <c r="M8" s="223">
        <v>99922</v>
      </c>
      <c r="N8" s="129">
        <f t="shared" si="0"/>
        <v>98274.987370320247</v>
      </c>
      <c r="O8" s="129">
        <f t="shared" si="1"/>
        <v>1647.0126296797534</v>
      </c>
      <c r="P8" s="129">
        <f t="shared" si="2"/>
        <v>1647.0126296797534</v>
      </c>
      <c r="Q8" s="220">
        <f t="shared" si="3"/>
        <v>1.6482983023555907E-2</v>
      </c>
      <c r="R8" s="129">
        <f t="shared" si="4"/>
        <v>2712650.6023246166</v>
      </c>
      <c r="S8" s="1">
        <f t="shared" si="5"/>
        <v>1166073658.8088722</v>
      </c>
      <c r="W8" s="14"/>
      <c r="X8" s="265"/>
      <c r="Y8" s="265"/>
      <c r="Z8" s="14"/>
      <c r="AA8" s="14"/>
    </row>
    <row r="9" spans="1:27" ht="13.8" x14ac:dyDescent="0.25">
      <c r="A9" s="131">
        <v>72</v>
      </c>
      <c r="B9" s="131">
        <v>20</v>
      </c>
      <c r="C9" s="131">
        <v>22</v>
      </c>
      <c r="D9" s="131">
        <v>45736</v>
      </c>
      <c r="L9" s="223">
        <v>20</v>
      </c>
      <c r="M9" s="223">
        <v>45736</v>
      </c>
      <c r="N9" s="129">
        <f t="shared" si="0"/>
        <v>45976.523229589526</v>
      </c>
      <c r="O9" s="129">
        <f t="shared" si="1"/>
        <v>-240.52322958952573</v>
      </c>
      <c r="P9" s="129">
        <f t="shared" si="2"/>
        <v>240.52322958952573</v>
      </c>
      <c r="Q9" s="220">
        <f t="shared" si="3"/>
        <v>5.2589476471384842E-3</v>
      </c>
      <c r="R9" s="129">
        <f t="shared" si="4"/>
        <v>57851.423972175704</v>
      </c>
      <c r="S9" s="1">
        <f t="shared" si="5"/>
        <v>329445857.17991138</v>
      </c>
      <c r="W9" s="14"/>
      <c r="X9" s="265"/>
      <c r="Y9" s="265"/>
      <c r="Z9" s="14"/>
      <c r="AA9" s="14"/>
    </row>
    <row r="10" spans="1:27" ht="15.6" x14ac:dyDescent="0.3">
      <c r="A10" s="131">
        <v>61</v>
      </c>
      <c r="B10" s="131">
        <v>32</v>
      </c>
      <c r="C10" s="131">
        <v>22</v>
      </c>
      <c r="D10" s="131">
        <v>66138</v>
      </c>
      <c r="F10" s="257" t="s">
        <v>191</v>
      </c>
      <c r="G10" s="252" t="s">
        <v>129</v>
      </c>
      <c r="H10" s="16"/>
      <c r="I10" s="244" t="s">
        <v>184</v>
      </c>
      <c r="J10" s="248" t="s">
        <v>186</v>
      </c>
      <c r="L10" s="223">
        <v>32</v>
      </c>
      <c r="M10" s="223">
        <v>66138</v>
      </c>
      <c r="N10" s="129">
        <f t="shared" si="0"/>
        <v>64434.804691023899</v>
      </c>
      <c r="O10" s="129">
        <f t="shared" si="1"/>
        <v>1703.1953089761009</v>
      </c>
      <c r="P10" s="129">
        <f t="shared" si="2"/>
        <v>1703.1953089761009</v>
      </c>
      <c r="Q10" s="220">
        <f t="shared" si="3"/>
        <v>2.5752144137653102E-2</v>
      </c>
      <c r="R10" s="129">
        <f t="shared" si="4"/>
        <v>2900874.260518196</v>
      </c>
      <c r="S10" s="1">
        <f t="shared" si="5"/>
        <v>94641.154030422607</v>
      </c>
      <c r="W10" s="14"/>
      <c r="X10" s="265"/>
      <c r="Y10" s="265"/>
      <c r="Z10" s="14"/>
      <c r="AA10" s="14"/>
    </row>
    <row r="11" spans="1:27" ht="15.6" x14ac:dyDescent="0.3">
      <c r="A11" s="131">
        <v>71</v>
      </c>
      <c r="B11" s="131">
        <v>36</v>
      </c>
      <c r="C11" s="131">
        <v>16</v>
      </c>
      <c r="D11" s="131">
        <v>70377</v>
      </c>
      <c r="F11" s="255" t="s">
        <v>181</v>
      </c>
      <c r="G11" s="253">
        <f>CORREL($A$2:$A$31,$D$2:$D$31)</f>
        <v>0.25549518526199488</v>
      </c>
      <c r="H11" s="16"/>
      <c r="I11" s="241" t="s">
        <v>44</v>
      </c>
      <c r="J11" s="226" t="s">
        <v>187</v>
      </c>
      <c r="L11" s="223">
        <v>36</v>
      </c>
      <c r="M11" s="223">
        <v>70377</v>
      </c>
      <c r="N11" s="129">
        <f t="shared" si="0"/>
        <v>70587.56517816869</v>
      </c>
      <c r="O11" s="129">
        <f t="shared" si="1"/>
        <v>-210.56517816869018</v>
      </c>
      <c r="P11" s="129">
        <f t="shared" si="2"/>
        <v>210.56517816869018</v>
      </c>
      <c r="Q11" s="220">
        <f t="shared" si="3"/>
        <v>2.9919601314163744E-3</v>
      </c>
      <c r="R11" s="129">
        <f t="shared" si="4"/>
        <v>44337.694257212243</v>
      </c>
      <c r="S11" s="1">
        <f t="shared" si="5"/>
        <v>41736748.927417591</v>
      </c>
      <c r="W11" s="14"/>
      <c r="X11" s="265"/>
      <c r="Y11" s="265"/>
      <c r="Z11" s="14"/>
      <c r="AA11" s="14"/>
    </row>
    <row r="12" spans="1:27" ht="15.6" x14ac:dyDescent="0.3">
      <c r="A12" s="131">
        <v>65</v>
      </c>
      <c r="B12" s="131">
        <v>42</v>
      </c>
      <c r="C12" s="131">
        <v>16</v>
      </c>
      <c r="D12" s="131">
        <v>78807</v>
      </c>
      <c r="F12" s="256" t="s">
        <v>182</v>
      </c>
      <c r="G12" s="254">
        <f>CORREL($B$2:$B$31,$D$2:$D$31)</f>
        <v>0.9903466003472281</v>
      </c>
      <c r="H12" s="16"/>
      <c r="I12" s="241" t="s">
        <v>49</v>
      </c>
      <c r="J12" s="246" t="s">
        <v>188</v>
      </c>
      <c r="L12" s="223">
        <v>42</v>
      </c>
      <c r="M12" s="223">
        <v>78807</v>
      </c>
      <c r="N12" s="129">
        <f t="shared" si="0"/>
        <v>79816.705908885866</v>
      </c>
      <c r="O12" s="129">
        <f t="shared" si="1"/>
        <v>-1009.7059088858659</v>
      </c>
      <c r="P12" s="129">
        <f t="shared" si="2"/>
        <v>1009.7059088858659</v>
      </c>
      <c r="Q12" s="220">
        <f t="shared" si="3"/>
        <v>1.2812388606162725E-2</v>
      </c>
      <c r="R12" s="129">
        <f t="shared" si="4"/>
        <v>1019506.0224390326</v>
      </c>
      <c r="S12" s="1">
        <f t="shared" si="5"/>
        <v>246161641.63313627</v>
      </c>
      <c r="W12" s="14"/>
      <c r="X12" s="265"/>
      <c r="Y12" s="265"/>
      <c r="Z12" s="14"/>
      <c r="AA12" s="14"/>
    </row>
    <row r="13" spans="1:27" ht="15.6" x14ac:dyDescent="0.3">
      <c r="A13" s="131">
        <v>64</v>
      </c>
      <c r="B13" s="131">
        <v>38</v>
      </c>
      <c r="C13" s="131">
        <v>20</v>
      </c>
      <c r="D13" s="131">
        <v>73073</v>
      </c>
      <c r="F13" s="255" t="s">
        <v>183</v>
      </c>
      <c r="G13" s="253">
        <f>CORREL($C$2:$C$31,$D$2:$D$31)</f>
        <v>0.33424377110083742</v>
      </c>
      <c r="H13" s="16"/>
      <c r="I13" s="241" t="s">
        <v>53</v>
      </c>
      <c r="J13" s="247" t="s">
        <v>185</v>
      </c>
      <c r="L13" s="223">
        <v>38</v>
      </c>
      <c r="M13" s="223">
        <v>73073</v>
      </c>
      <c r="N13" s="129">
        <f t="shared" si="0"/>
        <v>73663.945421741082</v>
      </c>
      <c r="O13" s="129">
        <f t="shared" si="1"/>
        <v>-590.9454217410821</v>
      </c>
      <c r="P13" s="129">
        <f t="shared" si="2"/>
        <v>590.9454217410821</v>
      </c>
      <c r="Q13" s="220">
        <f t="shared" si="3"/>
        <v>8.0870557078685981E-3</v>
      </c>
      <c r="R13" s="129">
        <f t="shared" si="4"/>
        <v>349216.4914767454</v>
      </c>
      <c r="S13" s="1">
        <f t="shared" si="5"/>
        <v>90950149.023238763</v>
      </c>
      <c r="W13" s="14"/>
      <c r="X13" s="265"/>
      <c r="Y13" s="265"/>
      <c r="Z13" s="14"/>
      <c r="AA13" s="14"/>
    </row>
    <row r="14" spans="1:27" ht="15.6" x14ac:dyDescent="0.3">
      <c r="A14" s="131">
        <v>71</v>
      </c>
      <c r="B14" s="131">
        <v>24</v>
      </c>
      <c r="C14" s="131">
        <v>19</v>
      </c>
      <c r="D14" s="131">
        <v>52908</v>
      </c>
      <c r="F14" s="16"/>
      <c r="G14" s="16"/>
      <c r="H14" s="16"/>
      <c r="I14" s="245"/>
      <c r="J14" s="84"/>
      <c r="L14" s="223">
        <v>24</v>
      </c>
      <c r="M14" s="223">
        <v>52908</v>
      </c>
      <c r="N14" s="129">
        <f t="shared" si="0"/>
        <v>52129.283716734317</v>
      </c>
      <c r="O14" s="129">
        <f t="shared" si="1"/>
        <v>778.71628326568316</v>
      </c>
      <c r="P14" s="129">
        <f t="shared" si="2"/>
        <v>778.71628326568316</v>
      </c>
      <c r="Q14" s="220">
        <f t="shared" si="3"/>
        <v>1.4718308824103786E-2</v>
      </c>
      <c r="R14" s="129">
        <f t="shared" si="4"/>
        <v>606399.04982311965</v>
      </c>
      <c r="S14" s="1">
        <f t="shared" si="5"/>
        <v>143949195.28027731</v>
      </c>
      <c r="W14" s="14"/>
      <c r="X14" s="265"/>
      <c r="Y14" s="265"/>
      <c r="Z14" s="14"/>
      <c r="AA14" s="14"/>
    </row>
    <row r="15" spans="1:27" ht="15.6" x14ac:dyDescent="0.3">
      <c r="A15" s="131">
        <v>72</v>
      </c>
      <c r="B15" s="131">
        <v>47</v>
      </c>
      <c r="C15" s="131">
        <v>27</v>
      </c>
      <c r="D15" s="131">
        <v>90116</v>
      </c>
      <c r="F15" s="16"/>
      <c r="G15" s="16"/>
      <c r="H15" s="16"/>
      <c r="I15" s="242" t="s">
        <v>56</v>
      </c>
      <c r="J15" s="249" t="s">
        <v>189</v>
      </c>
      <c r="L15" s="223">
        <v>47</v>
      </c>
      <c r="M15" s="223">
        <v>90116</v>
      </c>
      <c r="N15" s="129">
        <f t="shared" si="0"/>
        <v>87507.656517816853</v>
      </c>
      <c r="O15" s="129">
        <f t="shared" si="1"/>
        <v>2608.343482183147</v>
      </c>
      <c r="P15" s="129">
        <f t="shared" si="2"/>
        <v>2608.343482183147</v>
      </c>
      <c r="Q15" s="220">
        <f t="shared" si="3"/>
        <v>2.8944288274925064E-2</v>
      </c>
      <c r="R15" s="129">
        <f t="shared" si="4"/>
        <v>6803455.7210473046</v>
      </c>
      <c r="S15" s="1">
        <f t="shared" si="5"/>
        <v>546647305.67973697</v>
      </c>
      <c r="W15" s="14"/>
      <c r="X15" s="265"/>
      <c r="Y15" s="265"/>
      <c r="Z15" s="14"/>
      <c r="AA15" s="14"/>
    </row>
    <row r="16" spans="1:27" ht="15.6" x14ac:dyDescent="0.3">
      <c r="A16" s="131">
        <v>75</v>
      </c>
      <c r="B16" s="131">
        <v>45</v>
      </c>
      <c r="C16" s="131">
        <v>21</v>
      </c>
      <c r="D16" s="131">
        <v>81919</v>
      </c>
      <c r="F16" s="16"/>
      <c r="G16" s="16"/>
      <c r="H16" s="16"/>
      <c r="I16" s="242" t="s">
        <v>59</v>
      </c>
      <c r="J16" s="250" t="s">
        <v>190</v>
      </c>
      <c r="L16" s="223">
        <v>45</v>
      </c>
      <c r="M16" s="223">
        <v>81919</v>
      </c>
      <c r="N16" s="129">
        <f t="shared" si="0"/>
        <v>84431.276274244476</v>
      </c>
      <c r="O16" s="129">
        <f t="shared" si="1"/>
        <v>-2512.2762742444756</v>
      </c>
      <c r="P16" s="129">
        <f t="shared" si="2"/>
        <v>2512.2762742444756</v>
      </c>
      <c r="Q16" s="220">
        <f t="shared" si="3"/>
        <v>3.0667809351243004E-2</v>
      </c>
      <c r="R16" s="129">
        <f t="shared" si="4"/>
        <v>6311532.0781317037</v>
      </c>
      <c r="S16" s="1">
        <f t="shared" si="5"/>
        <v>412256866.95653361</v>
      </c>
      <c r="W16" s="16"/>
      <c r="X16" s="265"/>
      <c r="Y16" s="265"/>
      <c r="Z16" s="14"/>
      <c r="AA16" s="14"/>
    </row>
    <row r="17" spans="1:27" ht="15.6" x14ac:dyDescent="0.3">
      <c r="A17" s="131">
        <v>65</v>
      </c>
      <c r="B17" s="131">
        <v>24</v>
      </c>
      <c r="C17" s="131">
        <v>20</v>
      </c>
      <c r="D17" s="131">
        <v>52797</v>
      </c>
      <c r="F17" s="16"/>
      <c r="G17" s="16"/>
      <c r="H17" s="16"/>
      <c r="I17" s="243" t="s">
        <v>134</v>
      </c>
      <c r="J17" s="251" t="s">
        <v>185</v>
      </c>
      <c r="L17" s="223">
        <v>24</v>
      </c>
      <c r="M17" s="223">
        <v>52797</v>
      </c>
      <c r="N17" s="129">
        <f t="shared" si="0"/>
        <v>52129.283716734317</v>
      </c>
      <c r="O17" s="129">
        <f t="shared" si="1"/>
        <v>667.71628326568316</v>
      </c>
      <c r="P17" s="129">
        <f t="shared" si="2"/>
        <v>667.71628326568316</v>
      </c>
      <c r="Q17" s="220">
        <f t="shared" si="3"/>
        <v>1.2646860300124688E-2</v>
      </c>
      <c r="R17" s="129">
        <f t="shared" si="4"/>
        <v>445845.03493813804</v>
      </c>
      <c r="S17" s="1">
        <f t="shared" si="5"/>
        <v>143949195.28027731</v>
      </c>
      <c r="W17" s="16"/>
      <c r="X17" s="265"/>
      <c r="Y17" s="265"/>
      <c r="Z17" s="14"/>
      <c r="AA17" s="14"/>
    </row>
    <row r="18" spans="1:27" ht="13.8" x14ac:dyDescent="0.25">
      <c r="A18" s="131">
        <v>66</v>
      </c>
      <c r="B18" s="131">
        <v>38</v>
      </c>
      <c r="C18" s="131">
        <v>19</v>
      </c>
      <c r="D18" s="131">
        <v>74704</v>
      </c>
      <c r="L18" s="223">
        <v>38</v>
      </c>
      <c r="M18" s="223">
        <v>74704</v>
      </c>
      <c r="N18" s="129">
        <f t="shared" si="0"/>
        <v>73663.945421741082</v>
      </c>
      <c r="O18" s="129">
        <f t="shared" si="1"/>
        <v>1040.0545782589179</v>
      </c>
      <c r="P18" s="129">
        <f t="shared" si="2"/>
        <v>1040.0545782589179</v>
      </c>
      <c r="Q18" s="220">
        <f t="shared" si="3"/>
        <v>1.3922341216787829E-2</v>
      </c>
      <c r="R18" s="129">
        <f t="shared" si="4"/>
        <v>1081713.5257573356</v>
      </c>
      <c r="S18" s="1">
        <f t="shared" si="5"/>
        <v>90950149.023238763</v>
      </c>
      <c r="W18" s="16"/>
      <c r="X18" s="265"/>
      <c r="Y18" s="265"/>
      <c r="Z18" s="14"/>
      <c r="AA18" s="14"/>
    </row>
    <row r="19" spans="1:27" ht="13.8" x14ac:dyDescent="0.25">
      <c r="A19" s="131">
        <v>66</v>
      </c>
      <c r="B19" s="131">
        <v>29</v>
      </c>
      <c r="C19" s="131">
        <v>20</v>
      </c>
      <c r="D19" s="131">
        <v>55764</v>
      </c>
      <c r="L19" s="223">
        <v>29</v>
      </c>
      <c r="M19" s="223">
        <v>55764</v>
      </c>
      <c r="N19" s="129">
        <f t="shared" si="0"/>
        <v>59820.234325665304</v>
      </c>
      <c r="O19" s="129">
        <f t="shared" si="1"/>
        <v>-4056.2343256653039</v>
      </c>
      <c r="P19" s="129">
        <f t="shared" si="2"/>
        <v>4056.2343256653039</v>
      </c>
      <c r="Q19" s="220">
        <f t="shared" si="3"/>
        <v>7.2739300008344165E-2</v>
      </c>
      <c r="R19" s="129">
        <f t="shared" si="4"/>
        <v>16453036.904705463</v>
      </c>
      <c r="S19" s="1">
        <f t="shared" si="5"/>
        <v>18549666.189963456</v>
      </c>
      <c r="W19" s="16"/>
      <c r="X19" s="265"/>
      <c r="Y19" s="265"/>
      <c r="Z19" s="14"/>
      <c r="AA19" s="14"/>
    </row>
    <row r="20" spans="1:27" ht="15.6" x14ac:dyDescent="0.3">
      <c r="A20" s="131">
        <v>65</v>
      </c>
      <c r="B20" s="131">
        <v>23</v>
      </c>
      <c r="C20" s="131">
        <v>20</v>
      </c>
      <c r="D20" s="131">
        <v>50075</v>
      </c>
      <c r="F20" s="87"/>
      <c r="G20" s="260" t="s">
        <v>197</v>
      </c>
      <c r="H20" s="261" cm="1">
        <f t="array" ref="H20:I24">LINEST($D$2:$D$31,$B$2:$B$31,TRUE,TRUE)</f>
        <v>1538.1901217861978</v>
      </c>
      <c r="I20" s="261">
        <v>15212.72079386557</v>
      </c>
      <c r="J20" s="259" t="s">
        <v>198</v>
      </c>
      <c r="L20" s="223">
        <v>23</v>
      </c>
      <c r="M20" s="223">
        <v>50075</v>
      </c>
      <c r="N20" s="129">
        <f t="shared" si="0"/>
        <v>50591.093594948121</v>
      </c>
      <c r="O20" s="129">
        <f t="shared" si="1"/>
        <v>-516.09359494812088</v>
      </c>
      <c r="P20" s="129">
        <f t="shared" si="2"/>
        <v>516.09359494812088</v>
      </c>
      <c r="Q20" s="220">
        <f t="shared" si="3"/>
        <v>1.0306412280541605E-2</v>
      </c>
      <c r="R20" s="129">
        <f t="shared" si="4"/>
        <v>266352.59874647507</v>
      </c>
      <c r="S20" s="1">
        <f t="shared" si="5"/>
        <v>183225274.2029039</v>
      </c>
      <c r="W20" s="16"/>
      <c r="X20" s="265"/>
      <c r="Y20" s="265"/>
      <c r="Z20" s="14"/>
      <c r="AA20" s="14"/>
    </row>
    <row r="21" spans="1:27" ht="15.6" x14ac:dyDescent="0.3">
      <c r="A21" s="131">
        <v>63</v>
      </c>
      <c r="B21" s="131">
        <v>16</v>
      </c>
      <c r="C21" s="131">
        <v>17</v>
      </c>
      <c r="D21" s="131">
        <v>38985</v>
      </c>
      <c r="F21" s="87"/>
      <c r="G21" s="260" t="s">
        <v>192</v>
      </c>
      <c r="H21" s="261">
        <v>40.686308347884548</v>
      </c>
      <c r="I21" s="261">
        <v>1343.3055710397371</v>
      </c>
      <c r="J21" s="259" t="s">
        <v>193</v>
      </c>
      <c r="L21" s="223">
        <v>16</v>
      </c>
      <c r="M21" s="223">
        <v>38985</v>
      </c>
      <c r="N21" s="129">
        <f t="shared" si="0"/>
        <v>39823.762742444735</v>
      </c>
      <c r="O21" s="129">
        <f t="shared" si="1"/>
        <v>-838.76274244473461</v>
      </c>
      <c r="P21" s="129">
        <f t="shared" si="2"/>
        <v>838.76274244473461</v>
      </c>
      <c r="Q21" s="220">
        <f t="shared" si="3"/>
        <v>2.151501199037411E-2</v>
      </c>
      <c r="R21" s="129">
        <f t="shared" si="4"/>
        <v>703522.93811341224</v>
      </c>
      <c r="S21" s="1">
        <f t="shared" si="5"/>
        <v>590655442.30388594</v>
      </c>
      <c r="W21" s="16"/>
      <c r="X21" s="265"/>
      <c r="Y21" s="265"/>
      <c r="Z21" s="14"/>
      <c r="AA21" s="14"/>
    </row>
    <row r="22" spans="1:27" ht="15.6" x14ac:dyDescent="0.3">
      <c r="A22" s="131">
        <v>64</v>
      </c>
      <c r="B22" s="131">
        <v>29</v>
      </c>
      <c r="C22" s="131">
        <v>22</v>
      </c>
      <c r="D22" s="131">
        <v>58106</v>
      </c>
      <c r="F22" s="87"/>
      <c r="G22" s="260" t="s">
        <v>147</v>
      </c>
      <c r="H22" s="261">
        <v>0.98078638881931246</v>
      </c>
      <c r="I22" s="261">
        <v>1978.5430054887029</v>
      </c>
      <c r="J22" s="259" t="s">
        <v>61</v>
      </c>
      <c r="L22" s="223">
        <v>29</v>
      </c>
      <c r="M22" s="223">
        <v>58106</v>
      </c>
      <c r="N22" s="129">
        <f t="shared" si="0"/>
        <v>59820.234325665304</v>
      </c>
      <c r="O22" s="129">
        <f t="shared" si="1"/>
        <v>-1714.2343256653039</v>
      </c>
      <c r="P22" s="129">
        <f t="shared" si="2"/>
        <v>1714.2343256653039</v>
      </c>
      <c r="Q22" s="220">
        <f t="shared" si="3"/>
        <v>2.9501847066831375E-2</v>
      </c>
      <c r="R22" s="129">
        <f t="shared" si="4"/>
        <v>2938599.3232891792</v>
      </c>
      <c r="S22" s="1">
        <f t="shared" si="5"/>
        <v>18549666.189963456</v>
      </c>
      <c r="W22" s="16"/>
      <c r="X22" s="265"/>
      <c r="Y22" s="265"/>
      <c r="Z22" s="14"/>
      <c r="AA22" s="14"/>
    </row>
    <row r="23" spans="1:27" ht="15.6" x14ac:dyDescent="0.3">
      <c r="A23" s="131">
        <v>71</v>
      </c>
      <c r="B23" s="131">
        <v>35</v>
      </c>
      <c r="C23" s="131">
        <v>25</v>
      </c>
      <c r="D23" s="131">
        <v>65293</v>
      </c>
      <c r="F23" s="87"/>
      <c r="G23" s="260" t="s">
        <v>148</v>
      </c>
      <c r="H23" s="261">
        <v>1429.300230377524</v>
      </c>
      <c r="I23" s="261">
        <v>28</v>
      </c>
      <c r="J23" s="259" t="s">
        <v>149</v>
      </c>
      <c r="L23" s="223">
        <v>35</v>
      </c>
      <c r="M23" s="223">
        <v>65293</v>
      </c>
      <c r="N23" s="129">
        <f t="shared" si="0"/>
        <v>69049.375056382501</v>
      </c>
      <c r="O23" s="129">
        <f t="shared" si="1"/>
        <v>-3756.3750563825015</v>
      </c>
      <c r="P23" s="129">
        <f t="shared" si="2"/>
        <v>3756.3750563825015</v>
      </c>
      <c r="Q23" s="220">
        <f t="shared" si="3"/>
        <v>5.7531053196858799E-2</v>
      </c>
      <c r="R23" s="129">
        <f t="shared" si="4"/>
        <v>14110353.564212641</v>
      </c>
      <c r="S23" s="1">
        <f t="shared" si="5"/>
        <v>24228135.431788977</v>
      </c>
      <c r="W23" s="233" t="s">
        <v>166</v>
      </c>
      <c r="X23" s="273"/>
      <c r="Y23" s="273"/>
      <c r="Z23" s="272" t="s">
        <v>207</v>
      </c>
      <c r="AA23" s="227" t="s">
        <v>169</v>
      </c>
    </row>
    <row r="24" spans="1:27" ht="15.6" x14ac:dyDescent="0.3">
      <c r="A24" s="131">
        <v>67</v>
      </c>
      <c r="B24" s="131">
        <v>19</v>
      </c>
      <c r="C24" s="131">
        <v>19</v>
      </c>
      <c r="D24" s="131">
        <v>45382</v>
      </c>
      <c r="F24" s="87"/>
      <c r="G24" s="260" t="s">
        <v>150</v>
      </c>
      <c r="H24" s="261">
        <v>5595185026.2787533</v>
      </c>
      <c r="I24" s="261">
        <v>109609707.88791154</v>
      </c>
      <c r="J24" s="259" t="s">
        <v>116</v>
      </c>
      <c r="L24" s="223">
        <v>19</v>
      </c>
      <c r="M24" s="223">
        <v>45382</v>
      </c>
      <c r="N24" s="129">
        <f t="shared" si="0"/>
        <v>44438.33310780333</v>
      </c>
      <c r="O24" s="129">
        <f t="shared" si="1"/>
        <v>943.66689219667023</v>
      </c>
      <c r="P24" s="129">
        <f t="shared" si="2"/>
        <v>943.66689219667023</v>
      </c>
      <c r="Q24" s="220">
        <f t="shared" si="3"/>
        <v>2.0793858626694951E-2</v>
      </c>
      <c r="R24" s="129">
        <f t="shared" si="4"/>
        <v>890507.20342812198</v>
      </c>
      <c r="S24" s="1">
        <f t="shared" si="5"/>
        <v>387650166.90862304</v>
      </c>
      <c r="W24" s="269" t="s">
        <v>167</v>
      </c>
      <c r="X24" s="273"/>
      <c r="Y24" s="273"/>
      <c r="Z24" s="273"/>
      <c r="AA24" s="227" t="s">
        <v>214</v>
      </c>
    </row>
    <row r="25" spans="1:27" ht="15" x14ac:dyDescent="0.25">
      <c r="A25" s="131">
        <v>59</v>
      </c>
      <c r="B25" s="131">
        <v>38</v>
      </c>
      <c r="C25" s="131">
        <v>21</v>
      </c>
      <c r="D25" s="131">
        <v>74328</v>
      </c>
      <c r="L25" s="223">
        <v>38</v>
      </c>
      <c r="M25" s="223">
        <v>74328</v>
      </c>
      <c r="N25" s="129">
        <f t="shared" si="0"/>
        <v>73663.945421741082</v>
      </c>
      <c r="O25" s="129">
        <f t="shared" si="1"/>
        <v>664.0545782589179</v>
      </c>
      <c r="P25" s="129">
        <f t="shared" si="2"/>
        <v>664.0545782589179</v>
      </c>
      <c r="Q25" s="220">
        <f t="shared" si="3"/>
        <v>8.9341106751011454E-3</v>
      </c>
      <c r="R25" s="129">
        <f t="shared" si="4"/>
        <v>440968.48290662933</v>
      </c>
      <c r="S25" s="1">
        <f t="shared" si="5"/>
        <v>90950149.023238763</v>
      </c>
      <c r="W25" s="233" t="s">
        <v>208</v>
      </c>
      <c r="X25" s="270"/>
      <c r="Y25" s="270"/>
      <c r="Z25" s="270"/>
      <c r="AA25" s="270"/>
    </row>
    <row r="26" spans="1:27" ht="15" x14ac:dyDescent="0.25">
      <c r="A26" s="131">
        <v>65</v>
      </c>
      <c r="B26" s="131">
        <v>27</v>
      </c>
      <c r="C26" s="131">
        <v>18</v>
      </c>
      <c r="D26" s="131">
        <v>57384</v>
      </c>
      <c r="H26" s="269" t="s">
        <v>211</v>
      </c>
      <c r="I26" s="278">
        <f>AVERAGE($M$2:$M$31)</f>
        <v>64127.166666666664</v>
      </c>
      <c r="L26" s="223">
        <v>27</v>
      </c>
      <c r="M26" s="223">
        <v>57384</v>
      </c>
      <c r="N26" s="129">
        <f t="shared" si="0"/>
        <v>56743.854082092912</v>
      </c>
      <c r="O26" s="129">
        <f t="shared" si="1"/>
        <v>640.14591790708801</v>
      </c>
      <c r="P26" s="129">
        <f t="shared" si="2"/>
        <v>640.14591790708801</v>
      </c>
      <c r="Q26" s="220">
        <f t="shared" si="3"/>
        <v>1.1155477448541196E-2</v>
      </c>
      <c r="R26" s="129">
        <f t="shared" si="4"/>
        <v>409786.79621310823</v>
      </c>
      <c r="S26" s="1">
        <f t="shared" si="5"/>
        <v>54513304.72152514</v>
      </c>
      <c r="W26" s="269" t="s">
        <v>60</v>
      </c>
      <c r="X26" s="280">
        <f>AVERAGEA($Q$2:$Q$31)</f>
        <v>2.4045494696461438E-2</v>
      </c>
      <c r="Y26" s="274"/>
      <c r="Z26" s="275" t="s">
        <v>204</v>
      </c>
      <c r="AA26" s="275" t="s">
        <v>171</v>
      </c>
    </row>
    <row r="27" spans="1:27" ht="15" x14ac:dyDescent="0.25">
      <c r="A27" s="131">
        <v>65</v>
      </c>
      <c r="B27" s="131">
        <v>25</v>
      </c>
      <c r="C27" s="131">
        <v>19</v>
      </c>
      <c r="D27" s="131">
        <v>52612</v>
      </c>
      <c r="L27" s="223">
        <v>25</v>
      </c>
      <c r="M27" s="223">
        <v>52612</v>
      </c>
      <c r="N27" s="129">
        <f t="shared" si="0"/>
        <v>53667.473838520513</v>
      </c>
      <c r="O27" s="129">
        <f t="shared" si="1"/>
        <v>-1055.4738385205128</v>
      </c>
      <c r="P27" s="129">
        <f t="shared" si="2"/>
        <v>1055.4738385205128</v>
      </c>
      <c r="Q27" s="220">
        <f t="shared" si="3"/>
        <v>2.0061465797166288E-2</v>
      </c>
      <c r="R27" s="129">
        <f t="shared" si="4"/>
        <v>1114025.0238012255</v>
      </c>
      <c r="S27" s="1">
        <f t="shared" si="5"/>
        <v>109405174.05917203</v>
      </c>
      <c r="W27" s="269" t="s">
        <v>61</v>
      </c>
      <c r="X27" s="281">
        <f>SQRT(AVERAGE($R$2:$R$31))</f>
        <v>1911.4541400716521</v>
      </c>
      <c r="Y27" s="276"/>
      <c r="Z27" s="277"/>
      <c r="AA27" s="277"/>
    </row>
    <row r="28" spans="1:27" ht="15" x14ac:dyDescent="0.25">
      <c r="A28" s="131">
        <v>62</v>
      </c>
      <c r="B28" s="131">
        <v>34</v>
      </c>
      <c r="C28" s="131">
        <v>22</v>
      </c>
      <c r="D28" s="131">
        <v>68044</v>
      </c>
      <c r="L28" s="223">
        <v>34</v>
      </c>
      <c r="M28" s="223">
        <v>68044</v>
      </c>
      <c r="N28" s="129">
        <f t="shared" si="0"/>
        <v>67511.184934596298</v>
      </c>
      <c r="O28" s="129">
        <f t="shared" si="1"/>
        <v>532.81506540370174</v>
      </c>
      <c r="P28" s="129">
        <f t="shared" si="2"/>
        <v>532.81506540370174</v>
      </c>
      <c r="Q28" s="220">
        <f t="shared" si="3"/>
        <v>7.8304489066442565E-3</v>
      </c>
      <c r="R28" s="129">
        <f t="shared" si="4"/>
        <v>283891.89392115094</v>
      </c>
      <c r="S28" s="1">
        <f t="shared" si="5"/>
        <v>11451579.63768148</v>
      </c>
      <c r="W28" s="233" t="s">
        <v>173</v>
      </c>
      <c r="X28" s="270"/>
      <c r="Y28" s="270"/>
      <c r="Z28" s="270"/>
      <c r="AA28" s="270"/>
    </row>
    <row r="29" spans="1:27" ht="15" x14ac:dyDescent="0.25">
      <c r="A29" s="131">
        <v>63</v>
      </c>
      <c r="B29" s="131">
        <v>39</v>
      </c>
      <c r="C29" s="131">
        <v>19</v>
      </c>
      <c r="D29" s="131">
        <v>76001</v>
      </c>
      <c r="L29" s="223">
        <v>39</v>
      </c>
      <c r="M29" s="223">
        <v>76001</v>
      </c>
      <c r="N29" s="129">
        <f t="shared" si="0"/>
        <v>75202.135543527285</v>
      </c>
      <c r="O29" s="129">
        <f t="shared" si="1"/>
        <v>798.86445647271466</v>
      </c>
      <c r="P29" s="129">
        <f t="shared" si="2"/>
        <v>798.86445647271466</v>
      </c>
      <c r="Q29" s="220">
        <f t="shared" si="3"/>
        <v>1.051123612153412E-2</v>
      </c>
      <c r="R29" s="129">
        <f t="shared" si="4"/>
        <v>638184.41981544578</v>
      </c>
      <c r="S29" s="1">
        <f t="shared" si="5"/>
        <v>122654935.62343141</v>
      </c>
      <c r="W29" s="269" t="s">
        <v>209</v>
      </c>
      <c r="X29" s="279">
        <f>SUM($R$2:$R$31) + SUM($S$2:$S$31)</f>
        <v>5704794734.166666</v>
      </c>
      <c r="Y29" s="14"/>
      <c r="Z29" s="14"/>
      <c r="AA29" s="14"/>
    </row>
    <row r="30" spans="1:27" ht="15.6" x14ac:dyDescent="0.3">
      <c r="A30" s="131">
        <v>65</v>
      </c>
      <c r="B30" s="131">
        <v>26</v>
      </c>
      <c r="C30" s="131">
        <v>22</v>
      </c>
      <c r="D30" s="131">
        <v>59298</v>
      </c>
      <c r="H30" s="307" t="s">
        <v>61</v>
      </c>
      <c r="I30" s="308">
        <f>SQRT(SUM($R$2:$R$31) / (30-2))</f>
        <v>1978.5430054887049</v>
      </c>
      <c r="L30" s="223">
        <v>26</v>
      </c>
      <c r="M30" s="223">
        <v>59298</v>
      </c>
      <c r="N30" s="129">
        <f t="shared" si="0"/>
        <v>55205.663960306709</v>
      </c>
      <c r="O30" s="129">
        <f t="shared" si="1"/>
        <v>4092.3360396932912</v>
      </c>
      <c r="P30" s="129">
        <f t="shared" si="2"/>
        <v>4092.3360396932912</v>
      </c>
      <c r="Q30" s="220">
        <f t="shared" si="3"/>
        <v>6.9013053386173084E-2</v>
      </c>
      <c r="R30" s="129">
        <f t="shared" si="4"/>
        <v>16747214.261772571</v>
      </c>
      <c r="S30" s="1">
        <f t="shared" si="5"/>
        <v>79593210.539588004</v>
      </c>
      <c r="W30" s="269" t="s">
        <v>147</v>
      </c>
      <c r="X30" s="280">
        <f>SUM($S$2:$S$31) /X29</f>
        <v>0.98078638881931246</v>
      </c>
      <c r="Y30" s="274"/>
      <c r="Z30" s="275" t="s">
        <v>204</v>
      </c>
      <c r="AA30" s="275" t="s">
        <v>212</v>
      </c>
    </row>
    <row r="31" spans="1:27" ht="15.6" x14ac:dyDescent="0.3">
      <c r="A31" s="131">
        <v>64</v>
      </c>
      <c r="B31" s="131">
        <v>29</v>
      </c>
      <c r="C31" s="131">
        <v>16</v>
      </c>
      <c r="D31" s="131">
        <v>62119</v>
      </c>
      <c r="H31" s="307" t="s">
        <v>223</v>
      </c>
      <c r="I31" s="307">
        <f>DEVSQ($B$2:$B$31)</f>
        <v>2364.8000000000006</v>
      </c>
      <c r="L31" s="223">
        <v>29</v>
      </c>
      <c r="M31" s="223">
        <v>62119</v>
      </c>
      <c r="N31" s="129">
        <f t="shared" si="0"/>
        <v>59820.234325665304</v>
      </c>
      <c r="O31" s="129">
        <f t="shared" si="1"/>
        <v>2298.7656743346961</v>
      </c>
      <c r="P31" s="129">
        <f t="shared" si="2"/>
        <v>2298.7656743346961</v>
      </c>
      <c r="Q31" s="220">
        <f t="shared" si="3"/>
        <v>3.7005838380120351E-2</v>
      </c>
      <c r="R31" s="129">
        <f t="shared" si="4"/>
        <v>5284323.6254994497</v>
      </c>
      <c r="S31" s="1">
        <f t="shared" si="5"/>
        <v>18549666.189963456</v>
      </c>
      <c r="W31" s="269" t="s">
        <v>210</v>
      </c>
      <c r="X31" s="283">
        <f>1-X30</f>
        <v>1.921361118068754E-2</v>
      </c>
      <c r="Y31" s="284"/>
      <c r="Z31" s="282"/>
      <c r="AA31" s="282" t="s">
        <v>213</v>
      </c>
    </row>
    <row r="32" spans="1:27" ht="15.75" customHeight="1" x14ac:dyDescent="0.3">
      <c r="D32" s="290"/>
      <c r="H32" s="307" t="s">
        <v>226</v>
      </c>
      <c r="I32" s="307">
        <f>SQRT((I30^2/H20^2)*(1/30+(100000-I26)^2/(H20^2*I31)))</f>
        <v>0.6600603144041246</v>
      </c>
      <c r="W32" s="16"/>
      <c r="X32" s="16"/>
      <c r="Y32" s="16"/>
      <c r="Z32" s="16"/>
      <c r="AA32" s="16"/>
    </row>
    <row r="33" spans="5:27" ht="15.75" customHeight="1" x14ac:dyDescent="0.3">
      <c r="H33" s="307" t="s">
        <v>232</v>
      </c>
      <c r="I33" s="307">
        <f>_xlfn.T.INV.2T(0.05,28)</f>
        <v>2.0484071417952445</v>
      </c>
      <c r="W33" s="14"/>
      <c r="X33" s="14"/>
      <c r="Y33" s="14"/>
      <c r="Z33" s="14"/>
      <c r="AA33" s="16"/>
    </row>
    <row r="34" spans="5:27" ht="15.75" customHeight="1" x14ac:dyDescent="0.3">
      <c r="H34" s="307" t="s">
        <v>233</v>
      </c>
      <c r="I34" s="307">
        <f>I32 *I33</f>
        <v>1.3520722620410233</v>
      </c>
      <c r="W34" s="288" t="s">
        <v>216</v>
      </c>
      <c r="X34" s="289" t="s">
        <v>215</v>
      </c>
      <c r="Y34" s="14"/>
      <c r="Z34" s="14"/>
      <c r="AA34" s="16"/>
    </row>
    <row r="35" spans="5:27" ht="15.75" customHeight="1" x14ac:dyDescent="0.3">
      <c r="H35" s="310" t="s">
        <v>234</v>
      </c>
      <c r="I35" s="309">
        <f>(100000 - I20) /H20</f>
        <v>55.121456057510379</v>
      </c>
      <c r="W35" s="286">
        <v>100000</v>
      </c>
      <c r="X35" s="287">
        <f>(W35-I20) /H20</f>
        <v>55.121456057510379</v>
      </c>
      <c r="Y35" s="14"/>
      <c r="Z35" s="14"/>
      <c r="AA35" s="16"/>
    </row>
    <row r="36" spans="5:27" ht="15.75" customHeight="1" x14ac:dyDescent="0.3">
      <c r="H36" s="310" t="s">
        <v>235</v>
      </c>
      <c r="I36" s="309">
        <f>I35 - I34</f>
        <v>53.769383795469352</v>
      </c>
      <c r="W36" s="291" t="s">
        <v>217</v>
      </c>
      <c r="X36" s="14"/>
      <c r="Y36" s="14"/>
      <c r="Z36" s="14"/>
      <c r="AA36" s="16"/>
    </row>
    <row r="37" spans="5:27" ht="15.75" customHeight="1" x14ac:dyDescent="0.3">
      <c r="H37" s="310" t="s">
        <v>218</v>
      </c>
      <c r="I37" s="309">
        <f>I35 + I34</f>
        <v>56.473528319551406</v>
      </c>
      <c r="W37" s="286">
        <f>M2-X27</f>
        <v>53736.545859928345</v>
      </c>
      <c r="X37" s="14"/>
      <c r="Y37" s="14"/>
      <c r="Z37" s="14"/>
      <c r="AA37" s="16"/>
    </row>
    <row r="38" spans="5:27" ht="15.75" customHeight="1" x14ac:dyDescent="0.25">
      <c r="W38" s="291" t="s">
        <v>218</v>
      </c>
      <c r="X38" s="14"/>
      <c r="Y38" s="14"/>
      <c r="Z38" s="14"/>
      <c r="AA38" s="16"/>
    </row>
    <row r="39" spans="5:27" ht="15.75" customHeight="1" x14ac:dyDescent="0.25">
      <c r="W39" s="286">
        <f>M2+X27</f>
        <v>57559.454140071655</v>
      </c>
      <c r="X39" s="14"/>
      <c r="Y39" s="14"/>
      <c r="Z39" s="14"/>
      <c r="AA39" s="16"/>
    </row>
    <row r="40" spans="5:27" ht="15.75" customHeight="1" x14ac:dyDescent="0.25">
      <c r="W40" s="291" t="s">
        <v>219</v>
      </c>
      <c r="X40" s="14"/>
      <c r="Y40" s="14"/>
      <c r="Z40" s="14"/>
      <c r="AA40" s="16"/>
    </row>
    <row r="41" spans="5:27" ht="15.75" customHeight="1" x14ac:dyDescent="0.25">
      <c r="W41" s="285">
        <v>24</v>
      </c>
      <c r="X41" s="285"/>
      <c r="Y41" s="285"/>
      <c r="Z41" s="285"/>
      <c r="AA41" s="285"/>
    </row>
    <row r="42" spans="5:27" ht="15.75" customHeight="1" x14ac:dyDescent="0.3">
      <c r="E42" s="306"/>
      <c r="F42" s="306"/>
      <c r="I42" s="306"/>
      <c r="J42" s="306"/>
      <c r="K42" s="306"/>
      <c r="L42" s="306"/>
    </row>
    <row r="43" spans="5:27" ht="15.75" customHeight="1" x14ac:dyDescent="0.3">
      <c r="E43" s="306"/>
      <c r="F43" s="306"/>
      <c r="I43" s="306"/>
      <c r="J43" s="306"/>
      <c r="K43" s="306"/>
      <c r="L43" s="306"/>
    </row>
    <row r="44" spans="5:27" ht="15.75" customHeight="1" x14ac:dyDescent="0.3">
      <c r="E44" s="306"/>
      <c r="F44" s="306"/>
      <c r="I44" s="306"/>
      <c r="J44" s="306"/>
      <c r="K44" s="306"/>
      <c r="L44" s="306"/>
    </row>
    <row r="45" spans="5:27" ht="15.75" customHeight="1" x14ac:dyDescent="0.3">
      <c r="E45" s="306"/>
      <c r="F45" s="306"/>
      <c r="I45" s="306"/>
      <c r="J45" s="306"/>
      <c r="K45" s="306"/>
      <c r="L45" s="306"/>
    </row>
    <row r="46" spans="5:27" ht="15.75" customHeight="1" x14ac:dyDescent="0.3">
      <c r="E46" s="306"/>
      <c r="F46" s="306"/>
      <c r="I46" s="306"/>
      <c r="J46" s="306"/>
      <c r="K46" s="306"/>
      <c r="L46" s="306"/>
    </row>
    <row r="47" spans="5:27" ht="15.75" customHeight="1" x14ac:dyDescent="0.3">
      <c r="E47" s="306"/>
      <c r="F47" s="306"/>
      <c r="I47" s="306"/>
      <c r="J47" s="306"/>
      <c r="K47" s="306"/>
      <c r="L47" s="306"/>
    </row>
    <row r="48" spans="5:27" ht="15.75" customHeight="1" x14ac:dyDescent="0.3">
      <c r="E48" s="306"/>
      <c r="F48" s="306"/>
      <c r="I48" s="306"/>
      <c r="J48" s="306"/>
      <c r="K48" s="306"/>
      <c r="L48" s="306"/>
    </row>
    <row r="49" spans="5:12" ht="15.75" customHeight="1" x14ac:dyDescent="0.3">
      <c r="E49" s="306"/>
      <c r="F49" s="306"/>
      <c r="I49" s="306"/>
      <c r="J49" s="306"/>
      <c r="K49" s="306"/>
      <c r="L49" s="306"/>
    </row>
    <row r="50" spans="5:12" ht="15.75" customHeight="1" x14ac:dyDescent="0.3">
      <c r="E50" s="306"/>
      <c r="F50" s="306"/>
      <c r="G50" s="306"/>
      <c r="H50" s="306"/>
      <c r="I50" s="306"/>
      <c r="J50" s="306"/>
      <c r="K50" s="306"/>
      <c r="L50" s="306"/>
    </row>
    <row r="51" spans="5:12" ht="15.75" customHeight="1" x14ac:dyDescent="0.3">
      <c r="E51" s="306"/>
      <c r="F51" s="306"/>
      <c r="G51" s="306"/>
      <c r="H51" s="306"/>
      <c r="I51" s="306"/>
      <c r="J51" s="306"/>
      <c r="K51" s="306"/>
      <c r="L51" s="306"/>
    </row>
    <row r="52" spans="5:12" ht="15.75" customHeight="1" x14ac:dyDescent="0.3">
      <c r="E52" s="306"/>
      <c r="F52" s="306"/>
      <c r="G52" s="306"/>
      <c r="H52" s="306"/>
      <c r="I52" s="306"/>
      <c r="J52" s="306"/>
      <c r="K52" s="306"/>
      <c r="L52" s="306"/>
    </row>
    <row r="53" spans="5:12" ht="15.75" customHeight="1" x14ac:dyDescent="0.3">
      <c r="E53" s="306"/>
      <c r="F53" s="306"/>
      <c r="G53" s="306"/>
      <c r="H53" s="306"/>
      <c r="I53" s="306"/>
      <c r="J53" s="306"/>
      <c r="K53" s="306"/>
      <c r="L53" s="306"/>
    </row>
    <row r="54" spans="5:12" ht="15.75" customHeight="1" x14ac:dyDescent="0.3">
      <c r="E54" s="306"/>
      <c r="F54" s="306"/>
      <c r="G54" s="306"/>
      <c r="H54" s="306"/>
      <c r="I54" s="306"/>
      <c r="J54" s="306"/>
      <c r="K54" s="306"/>
      <c r="L54" s="306"/>
    </row>
    <row r="55" spans="5:12" ht="15.75" customHeight="1" x14ac:dyDescent="0.3">
      <c r="E55" s="306"/>
      <c r="F55" s="306"/>
      <c r="G55" s="306"/>
      <c r="H55" s="306"/>
      <c r="I55" s="306"/>
      <c r="J55" s="306"/>
      <c r="K55" s="306"/>
      <c r="L55" s="306"/>
    </row>
    <row r="56" spans="5:12" ht="15.75" customHeight="1" x14ac:dyDescent="0.3">
      <c r="E56" s="306"/>
      <c r="F56" s="306"/>
      <c r="G56" s="306"/>
      <c r="H56" s="306"/>
      <c r="I56" s="306"/>
      <c r="J56" s="306"/>
      <c r="K56" s="306"/>
      <c r="L56" s="306"/>
    </row>
    <row r="57" spans="5:12" ht="15.75" customHeight="1" x14ac:dyDescent="0.3">
      <c r="E57" s="306"/>
      <c r="F57" s="306"/>
      <c r="G57" s="306"/>
      <c r="H57" s="306"/>
      <c r="I57" s="306"/>
      <c r="J57" s="306"/>
      <c r="K57" s="306"/>
      <c r="L57" s="306"/>
    </row>
    <row r="58" spans="5:12" ht="15.75" customHeight="1" x14ac:dyDescent="0.3">
      <c r="E58" s="306"/>
      <c r="F58" s="306"/>
      <c r="G58" s="306"/>
      <c r="H58" s="306"/>
      <c r="I58" s="306"/>
      <c r="J58" s="306"/>
      <c r="K58" s="306"/>
      <c r="L58" s="306"/>
    </row>
    <row r="59" spans="5:12" ht="15.75" customHeight="1" x14ac:dyDescent="0.3">
      <c r="E59" s="306"/>
      <c r="F59" s="306"/>
      <c r="G59" s="306"/>
      <c r="H59" s="306"/>
      <c r="I59" s="306"/>
      <c r="J59" s="306"/>
      <c r="K59" s="306"/>
      <c r="L59" s="306"/>
    </row>
    <row r="60" spans="5:12" ht="15.75" customHeight="1" x14ac:dyDescent="0.3">
      <c r="E60" s="306"/>
      <c r="F60" s="306"/>
      <c r="G60" s="306"/>
      <c r="H60" s="306"/>
      <c r="I60" s="306"/>
      <c r="J60" s="306"/>
      <c r="K60" s="306"/>
      <c r="L60" s="306"/>
    </row>
    <row r="61" spans="5:12" ht="15.75" customHeight="1" x14ac:dyDescent="0.3">
      <c r="E61" s="306"/>
      <c r="F61" s="306"/>
      <c r="G61" s="306"/>
      <c r="H61" s="306"/>
      <c r="I61" s="306"/>
      <c r="J61" s="306"/>
      <c r="K61" s="306"/>
      <c r="L61" s="306"/>
    </row>
    <row r="62" spans="5:12" ht="15.75" customHeight="1" x14ac:dyDescent="0.3">
      <c r="E62" s="306"/>
      <c r="F62" s="306"/>
      <c r="G62" s="306"/>
      <c r="H62" s="306"/>
      <c r="I62" s="306"/>
      <c r="J62" s="306"/>
      <c r="K62" s="306"/>
      <c r="L62" s="306"/>
    </row>
    <row r="63" spans="5:12" ht="15.75" customHeight="1" x14ac:dyDescent="0.3">
      <c r="E63" s="306"/>
      <c r="F63" s="306"/>
      <c r="G63" s="306"/>
      <c r="H63" s="306"/>
      <c r="I63" s="306"/>
      <c r="J63" s="306"/>
      <c r="K63" s="306"/>
      <c r="L63" s="306"/>
    </row>
    <row r="64" spans="5:12" ht="15.75" customHeight="1" x14ac:dyDescent="0.3">
      <c r="E64" s="306"/>
      <c r="F64" s="306"/>
      <c r="G64" s="306"/>
      <c r="H64" s="306"/>
      <c r="I64" s="306"/>
      <c r="J64" s="306"/>
      <c r="K64" s="306"/>
      <c r="L64" s="306"/>
    </row>
    <row r="65" spans="5:12" ht="15.75" customHeight="1" x14ac:dyDescent="0.3">
      <c r="E65" s="306"/>
      <c r="F65" s="306"/>
      <c r="G65" s="306"/>
      <c r="H65" s="306"/>
      <c r="I65" s="306"/>
      <c r="J65" s="306"/>
      <c r="K65" s="306"/>
      <c r="L65" s="306"/>
    </row>
    <row r="66" spans="5:12" ht="15.75" customHeight="1" x14ac:dyDescent="0.3">
      <c r="E66" s="306"/>
      <c r="F66" s="306"/>
      <c r="G66" s="306"/>
      <c r="H66" s="306"/>
      <c r="I66" s="306"/>
      <c r="J66" s="306"/>
      <c r="K66" s="306"/>
      <c r="L66" s="306"/>
    </row>
    <row r="67" spans="5:12" ht="15.75" customHeight="1" x14ac:dyDescent="0.3">
      <c r="E67" s="306"/>
      <c r="F67" s="306"/>
      <c r="G67" s="306"/>
      <c r="H67" s="306"/>
      <c r="I67" s="306"/>
      <c r="J67" s="306"/>
      <c r="K67" s="306"/>
      <c r="L67" s="306"/>
    </row>
    <row r="68" spans="5:12" ht="15.75" customHeight="1" x14ac:dyDescent="0.3">
      <c r="E68" s="306"/>
      <c r="F68" s="306"/>
      <c r="G68" s="306"/>
      <c r="H68" s="306"/>
      <c r="I68" s="306"/>
      <c r="J68" s="306"/>
      <c r="K68" s="306"/>
      <c r="L68" s="306"/>
    </row>
    <row r="69" spans="5:12" ht="15.75" customHeight="1" x14ac:dyDescent="0.3">
      <c r="E69" s="306"/>
      <c r="F69" s="306"/>
      <c r="G69" s="306"/>
      <c r="H69" s="306"/>
      <c r="I69" s="306"/>
      <c r="J69" s="306"/>
      <c r="K69" s="306"/>
      <c r="L69" s="306"/>
    </row>
    <row r="70" spans="5:12" ht="15.75" customHeight="1" x14ac:dyDescent="0.3">
      <c r="E70" s="306"/>
      <c r="F70" s="306"/>
      <c r="G70" s="306"/>
      <c r="H70" s="306"/>
      <c r="I70" s="306"/>
      <c r="J70" s="306"/>
      <c r="K70" s="306"/>
      <c r="L70" s="306"/>
    </row>
    <row r="71" spans="5:12" ht="15.75" customHeight="1" x14ac:dyDescent="0.3">
      <c r="E71" s="306"/>
      <c r="F71" s="306"/>
      <c r="G71" s="306"/>
      <c r="H71" s="306"/>
      <c r="I71" s="306"/>
      <c r="J71" s="306"/>
      <c r="K71" s="306"/>
      <c r="L71" s="306"/>
    </row>
    <row r="72" spans="5:12" ht="15.75" customHeight="1" x14ac:dyDescent="0.3">
      <c r="E72" s="306"/>
      <c r="F72" s="306"/>
      <c r="G72" s="306"/>
      <c r="H72" s="306"/>
      <c r="I72" s="306"/>
      <c r="J72" s="306"/>
      <c r="K72" s="306"/>
      <c r="L72" s="306"/>
    </row>
    <row r="73" spans="5:12" ht="15.75" customHeight="1" x14ac:dyDescent="0.3">
      <c r="E73" s="306"/>
      <c r="F73" s="306"/>
      <c r="G73" s="306"/>
      <c r="H73" s="306"/>
      <c r="I73" s="306"/>
      <c r="J73" s="306"/>
      <c r="K73" s="306"/>
      <c r="L73" s="306"/>
    </row>
    <row r="74" spans="5:12" ht="15.75" customHeight="1" x14ac:dyDescent="0.3">
      <c r="E74" s="306"/>
      <c r="F74" s="306"/>
      <c r="G74" s="306"/>
      <c r="H74" s="306"/>
      <c r="I74" s="306"/>
      <c r="J74" s="306"/>
      <c r="K74" s="306"/>
      <c r="L74" s="306"/>
    </row>
    <row r="75" spans="5:12" ht="15.75" customHeight="1" x14ac:dyDescent="0.3">
      <c r="E75" s="306"/>
      <c r="F75" s="306"/>
      <c r="G75" s="306"/>
      <c r="H75" s="306"/>
      <c r="I75" s="306"/>
      <c r="J75" s="306"/>
      <c r="K75" s="306"/>
      <c r="L75" s="306"/>
    </row>
    <row r="76" spans="5:12" ht="15.75" customHeight="1" x14ac:dyDescent="0.3">
      <c r="E76" s="306"/>
      <c r="F76" s="306"/>
      <c r="G76" s="306"/>
      <c r="H76" s="306"/>
      <c r="I76" s="306"/>
      <c r="J76" s="306"/>
      <c r="K76" s="306"/>
      <c r="L76" s="306"/>
    </row>
    <row r="77" spans="5:12" ht="15.75" customHeight="1" x14ac:dyDescent="0.3">
      <c r="E77" s="306"/>
      <c r="F77" s="306"/>
      <c r="G77" s="306"/>
      <c r="H77" s="306"/>
      <c r="I77" s="306"/>
      <c r="J77" s="306"/>
      <c r="K77" s="306"/>
      <c r="L77" s="306"/>
    </row>
    <row r="78" spans="5:12" ht="15.75" customHeight="1" x14ac:dyDescent="0.3">
      <c r="E78" s="306"/>
      <c r="F78" s="306"/>
      <c r="G78" s="306"/>
      <c r="H78" s="306"/>
      <c r="I78" s="306"/>
      <c r="J78" s="306"/>
      <c r="K78" s="306"/>
      <c r="L78" s="306"/>
    </row>
    <row r="79" spans="5:12" ht="15.75" customHeight="1" x14ac:dyDescent="0.3">
      <c r="E79" s="306"/>
      <c r="F79" s="306"/>
      <c r="G79" s="306"/>
      <c r="H79" s="306"/>
      <c r="I79" s="306"/>
      <c r="J79" s="306"/>
      <c r="K79" s="306"/>
      <c r="L79" s="306"/>
    </row>
    <row r="80" spans="5:12" ht="15.75" customHeight="1" x14ac:dyDescent="0.3">
      <c r="E80" s="306"/>
      <c r="F80" s="306"/>
      <c r="G80" s="306"/>
      <c r="H80" s="306"/>
      <c r="I80" s="306"/>
      <c r="J80" s="306"/>
      <c r="K80" s="306"/>
      <c r="L80" s="306"/>
    </row>
    <row r="81" spans="5:12" ht="15.75" customHeight="1" x14ac:dyDescent="0.3">
      <c r="E81" s="306"/>
      <c r="F81" s="306"/>
      <c r="G81" s="306"/>
      <c r="H81" s="306"/>
      <c r="I81" s="306"/>
      <c r="J81" s="306"/>
      <c r="K81" s="306"/>
      <c r="L81" s="306"/>
    </row>
    <row r="82" spans="5:12" ht="15.75" customHeight="1" x14ac:dyDescent="0.3">
      <c r="E82" s="306"/>
      <c r="F82" s="306"/>
      <c r="G82" s="306"/>
      <c r="H82" s="306"/>
      <c r="I82" s="306"/>
      <c r="J82" s="306"/>
      <c r="K82" s="306"/>
      <c r="L82" s="306"/>
    </row>
    <row r="83" spans="5:12" ht="15.75" customHeight="1" x14ac:dyDescent="0.3">
      <c r="E83" s="306"/>
      <c r="F83" s="306"/>
      <c r="G83" s="306"/>
      <c r="H83" s="306"/>
      <c r="I83" s="306"/>
      <c r="J83" s="306"/>
      <c r="K83" s="306"/>
      <c r="L83" s="306"/>
    </row>
    <row r="84" spans="5:12" ht="15.75" customHeight="1" x14ac:dyDescent="0.3">
      <c r="E84" s="306"/>
      <c r="F84" s="306"/>
      <c r="G84" s="306"/>
      <c r="H84" s="306"/>
      <c r="I84" s="306"/>
      <c r="J84" s="306"/>
      <c r="K84" s="306"/>
      <c r="L84" s="306"/>
    </row>
    <row r="85" spans="5:12" ht="15.75" customHeight="1" x14ac:dyDescent="0.3">
      <c r="E85" s="306"/>
      <c r="F85" s="306"/>
      <c r="G85" s="306"/>
      <c r="H85" s="306"/>
      <c r="I85" s="306"/>
      <c r="J85" s="306"/>
      <c r="K85" s="306"/>
      <c r="L85" s="306"/>
    </row>
    <row r="86" spans="5:12" ht="15.75" customHeight="1" x14ac:dyDescent="0.3">
      <c r="E86" s="306"/>
      <c r="F86" s="306"/>
      <c r="G86" s="306"/>
      <c r="H86" s="306"/>
      <c r="I86" s="306"/>
      <c r="J86" s="306"/>
      <c r="K86" s="306"/>
      <c r="L86" s="306"/>
    </row>
    <row r="87" spans="5:12" ht="15.75" customHeight="1" x14ac:dyDescent="0.3">
      <c r="E87" s="306"/>
      <c r="F87" s="306"/>
      <c r="G87" s="306"/>
      <c r="H87" s="306"/>
      <c r="I87" s="306"/>
      <c r="J87" s="306"/>
      <c r="K87" s="306"/>
      <c r="L87" s="306"/>
    </row>
    <row r="88" spans="5:12" ht="15.75" customHeight="1" x14ac:dyDescent="0.3">
      <c r="E88" s="306"/>
      <c r="F88" s="306"/>
      <c r="G88" s="306"/>
      <c r="H88" s="306"/>
      <c r="I88" s="306"/>
      <c r="J88" s="306"/>
      <c r="K88" s="306"/>
      <c r="L88" s="306"/>
    </row>
    <row r="89" spans="5:12" ht="15.75" customHeight="1" x14ac:dyDescent="0.3">
      <c r="E89" s="306"/>
      <c r="F89" s="306"/>
      <c r="G89" s="306"/>
      <c r="H89" s="306"/>
      <c r="I89" s="306"/>
      <c r="J89" s="306"/>
      <c r="K89" s="306"/>
      <c r="L89" s="306"/>
    </row>
    <row r="90" spans="5:12" ht="15.75" customHeight="1" x14ac:dyDescent="0.3">
      <c r="E90" s="306"/>
      <c r="F90" s="306"/>
      <c r="G90" s="306"/>
      <c r="H90" s="306"/>
      <c r="I90" s="306"/>
      <c r="J90" s="306"/>
      <c r="K90" s="306"/>
      <c r="L90" s="306"/>
    </row>
    <row r="91" spans="5:12" ht="15.75" customHeight="1" x14ac:dyDescent="0.3">
      <c r="E91" s="306"/>
      <c r="F91" s="306"/>
      <c r="G91" s="306"/>
      <c r="H91" s="306"/>
      <c r="I91" s="306"/>
      <c r="J91" s="306"/>
      <c r="K91" s="306"/>
      <c r="L91" s="306"/>
    </row>
    <row r="92" spans="5:12" ht="15.75" customHeight="1" x14ac:dyDescent="0.3">
      <c r="E92" s="306"/>
      <c r="F92" s="306"/>
      <c r="G92" s="306"/>
      <c r="H92" s="306"/>
      <c r="I92" s="306"/>
      <c r="J92" s="306"/>
      <c r="K92" s="306"/>
      <c r="L92" s="306"/>
    </row>
    <row r="93" spans="5:12" ht="15.75" customHeight="1" x14ac:dyDescent="0.3">
      <c r="E93" s="306"/>
      <c r="F93" s="306"/>
      <c r="G93" s="306"/>
      <c r="H93" s="306"/>
      <c r="I93" s="306"/>
      <c r="J93" s="306"/>
      <c r="K93" s="306"/>
      <c r="L93" s="306"/>
    </row>
    <row r="94" spans="5:12" ht="15.75" customHeight="1" x14ac:dyDescent="0.3">
      <c r="E94" s="306"/>
      <c r="F94" s="306"/>
      <c r="G94" s="306"/>
      <c r="H94" s="306"/>
      <c r="I94" s="306"/>
      <c r="J94" s="306"/>
      <c r="K94" s="306"/>
      <c r="L94" s="306"/>
    </row>
    <row r="95" spans="5:12" ht="15.75" customHeight="1" x14ac:dyDescent="0.3">
      <c r="E95" s="306"/>
      <c r="F95" s="306"/>
      <c r="G95" s="306"/>
      <c r="H95" s="306"/>
      <c r="I95" s="306"/>
      <c r="J95" s="306"/>
      <c r="K95" s="306"/>
      <c r="L95" s="306"/>
    </row>
    <row r="96" spans="5:12" ht="15.75" customHeight="1" x14ac:dyDescent="0.3">
      <c r="E96" s="306"/>
      <c r="F96" s="306"/>
      <c r="G96" s="306"/>
      <c r="H96" s="306"/>
      <c r="I96" s="306"/>
      <c r="J96" s="306"/>
      <c r="K96" s="306"/>
      <c r="L96" s="306"/>
    </row>
    <row r="97" spans="5:12" ht="15.75" customHeight="1" x14ac:dyDescent="0.3">
      <c r="E97" s="306"/>
      <c r="F97" s="306"/>
      <c r="G97" s="306"/>
      <c r="H97" s="306"/>
      <c r="I97" s="306"/>
      <c r="J97" s="306"/>
      <c r="K97" s="306"/>
      <c r="L97" s="306"/>
    </row>
    <row r="98" spans="5:12" ht="15.75" customHeight="1" x14ac:dyDescent="0.3">
      <c r="E98" s="306"/>
      <c r="F98" s="306"/>
      <c r="G98" s="306"/>
      <c r="H98" s="306"/>
      <c r="I98" s="306"/>
      <c r="J98" s="306"/>
      <c r="K98" s="306"/>
      <c r="L98" s="306"/>
    </row>
    <row r="99" spans="5:12" ht="15.75" customHeight="1" x14ac:dyDescent="0.3">
      <c r="E99" s="306"/>
      <c r="F99" s="306"/>
      <c r="G99" s="306"/>
      <c r="H99" s="306"/>
      <c r="I99" s="306"/>
      <c r="J99" s="306"/>
      <c r="K99" s="306"/>
      <c r="L99" s="306"/>
    </row>
    <row r="100" spans="5:12" ht="15.75" customHeight="1" x14ac:dyDescent="0.3">
      <c r="E100" s="306"/>
      <c r="F100" s="306"/>
      <c r="G100" s="306"/>
      <c r="H100" s="306"/>
      <c r="I100" s="306"/>
      <c r="J100" s="306"/>
      <c r="K100" s="306"/>
      <c r="L100" s="306"/>
    </row>
    <row r="101" spans="5:12" ht="15.75" customHeight="1" x14ac:dyDescent="0.3">
      <c r="E101" s="306"/>
      <c r="F101" s="306"/>
      <c r="G101" s="306"/>
      <c r="H101" s="306"/>
      <c r="I101" s="306"/>
      <c r="J101" s="306"/>
      <c r="K101" s="306"/>
      <c r="L101" s="306"/>
    </row>
    <row r="102" spans="5:12" ht="15.75" customHeight="1" x14ac:dyDescent="0.3">
      <c r="E102" s="306"/>
      <c r="F102" s="306"/>
      <c r="G102" s="306"/>
      <c r="H102" s="306"/>
      <c r="I102" s="306"/>
      <c r="J102" s="306"/>
      <c r="K102" s="306"/>
      <c r="L102" s="306"/>
    </row>
    <row r="103" spans="5:12" ht="15.75" customHeight="1" x14ac:dyDescent="0.3">
      <c r="E103" s="306"/>
      <c r="F103" s="306"/>
      <c r="G103" s="306"/>
      <c r="H103" s="306"/>
      <c r="I103" s="306"/>
      <c r="J103" s="306"/>
      <c r="K103" s="306"/>
      <c r="L103" s="306"/>
    </row>
    <row r="104" spans="5:12" ht="15.75" customHeight="1" x14ac:dyDescent="0.3">
      <c r="E104" s="306"/>
      <c r="F104" s="306"/>
      <c r="G104" s="306"/>
      <c r="H104" s="306"/>
      <c r="I104" s="306"/>
      <c r="J104" s="306"/>
      <c r="K104" s="306"/>
      <c r="L104" s="306"/>
    </row>
    <row r="105" spans="5:12" ht="15.75" customHeight="1" x14ac:dyDescent="0.3">
      <c r="E105" s="306"/>
      <c r="F105" s="306"/>
      <c r="G105" s="306"/>
      <c r="H105" s="306"/>
      <c r="I105" s="306"/>
      <c r="J105" s="306"/>
      <c r="K105" s="306"/>
      <c r="L105" s="306"/>
    </row>
    <row r="106" spans="5:12" ht="15.75" customHeight="1" x14ac:dyDescent="0.3">
      <c r="E106" s="306"/>
      <c r="F106" s="306"/>
      <c r="G106" s="306"/>
      <c r="H106" s="306"/>
      <c r="I106" s="306"/>
      <c r="J106" s="306"/>
      <c r="K106" s="306"/>
      <c r="L106" s="306"/>
    </row>
    <row r="107" spans="5:12" ht="15.75" customHeight="1" x14ac:dyDescent="0.3">
      <c r="E107" s="306"/>
      <c r="F107" s="306"/>
      <c r="G107" s="306"/>
      <c r="H107" s="306"/>
      <c r="I107" s="306"/>
      <c r="J107" s="306"/>
      <c r="K107" s="306"/>
      <c r="L107" s="306"/>
    </row>
    <row r="108" spans="5:12" ht="15.75" customHeight="1" x14ac:dyDescent="0.3">
      <c r="E108" s="306"/>
      <c r="F108" s="306"/>
      <c r="G108" s="306"/>
      <c r="H108" s="306"/>
      <c r="I108" s="306"/>
      <c r="J108" s="306"/>
      <c r="K108" s="306"/>
      <c r="L108" s="306"/>
    </row>
    <row r="109" spans="5:12" ht="15.75" customHeight="1" x14ac:dyDescent="0.3">
      <c r="E109" s="306"/>
      <c r="F109" s="306"/>
      <c r="G109" s="306"/>
      <c r="H109" s="306"/>
      <c r="I109" s="306"/>
      <c r="J109" s="306"/>
      <c r="K109" s="306"/>
      <c r="L109" s="306"/>
    </row>
    <row r="110" spans="5:12" ht="15.75" customHeight="1" x14ac:dyDescent="0.3">
      <c r="E110" s="306"/>
      <c r="F110" s="306"/>
      <c r="G110" s="306"/>
      <c r="H110" s="306"/>
      <c r="I110" s="306"/>
      <c r="J110" s="306"/>
      <c r="K110" s="306"/>
      <c r="L110" s="306"/>
    </row>
    <row r="111" spans="5:12" ht="15.75" customHeight="1" x14ac:dyDescent="0.3">
      <c r="E111" s="306"/>
      <c r="F111" s="306"/>
      <c r="G111" s="306"/>
      <c r="H111" s="306"/>
      <c r="I111" s="306"/>
      <c r="J111" s="306"/>
      <c r="K111" s="306"/>
      <c r="L111" s="306"/>
    </row>
    <row r="112" spans="5:12" ht="15.75" customHeight="1" x14ac:dyDescent="0.3">
      <c r="E112" s="306"/>
      <c r="F112" s="306"/>
      <c r="G112" s="306"/>
      <c r="H112" s="306"/>
      <c r="I112" s="306"/>
      <c r="J112" s="306"/>
      <c r="K112" s="306"/>
      <c r="L112" s="306"/>
    </row>
    <row r="113" spans="5:12" ht="15.75" customHeight="1" x14ac:dyDescent="0.3">
      <c r="E113" s="306"/>
      <c r="F113" s="306"/>
      <c r="G113" s="306"/>
      <c r="H113" s="306"/>
      <c r="I113" s="306"/>
      <c r="J113" s="306"/>
      <c r="K113" s="306"/>
      <c r="L113" s="306"/>
    </row>
    <row r="114" spans="5:12" ht="15.75" customHeight="1" x14ac:dyDescent="0.3">
      <c r="E114" s="306"/>
      <c r="F114" s="306"/>
      <c r="G114" s="306"/>
      <c r="H114" s="306"/>
      <c r="I114" s="306"/>
      <c r="J114" s="306"/>
      <c r="K114" s="306"/>
      <c r="L114" s="306"/>
    </row>
    <row r="115" spans="5:12" ht="15.75" customHeight="1" x14ac:dyDescent="0.3">
      <c r="E115" s="306"/>
      <c r="F115" s="306"/>
      <c r="G115" s="306"/>
      <c r="H115" s="306"/>
      <c r="I115" s="306"/>
      <c r="J115" s="306"/>
      <c r="K115" s="306"/>
      <c r="L115" s="306"/>
    </row>
    <row r="116" spans="5:12" ht="15.75" customHeight="1" x14ac:dyDescent="0.3">
      <c r="E116" s="306"/>
      <c r="F116" s="306"/>
      <c r="G116" s="306"/>
      <c r="H116" s="306"/>
      <c r="I116" s="306"/>
      <c r="J116" s="306"/>
      <c r="K116" s="306"/>
      <c r="L116" s="306"/>
    </row>
    <row r="117" spans="5:12" ht="15.75" customHeight="1" x14ac:dyDescent="0.3">
      <c r="E117" s="306"/>
      <c r="F117" s="306"/>
      <c r="G117" s="306"/>
      <c r="H117" s="306"/>
      <c r="I117" s="306"/>
      <c r="J117" s="306"/>
      <c r="K117" s="306"/>
      <c r="L117" s="306"/>
    </row>
    <row r="118" spans="5:12" ht="15.75" customHeight="1" x14ac:dyDescent="0.3">
      <c r="E118" s="306"/>
      <c r="F118" s="306"/>
      <c r="G118" s="306"/>
      <c r="H118" s="306"/>
      <c r="I118" s="306"/>
      <c r="J118" s="306"/>
      <c r="K118" s="306"/>
      <c r="L118" s="306"/>
    </row>
    <row r="119" spans="5:12" ht="15.75" customHeight="1" x14ac:dyDescent="0.3">
      <c r="E119" s="306"/>
      <c r="F119" s="306"/>
      <c r="G119" s="306"/>
      <c r="H119" s="306"/>
      <c r="I119" s="306"/>
      <c r="J119" s="306"/>
      <c r="K119" s="306"/>
      <c r="L119" s="306"/>
    </row>
    <row r="120" spans="5:12" ht="15.75" customHeight="1" x14ac:dyDescent="0.3">
      <c r="E120" s="306"/>
      <c r="F120" s="306"/>
      <c r="G120" s="306"/>
      <c r="H120" s="306"/>
      <c r="I120" s="306"/>
      <c r="J120" s="306"/>
      <c r="K120" s="306"/>
      <c r="L120" s="306"/>
    </row>
    <row r="121" spans="5:12" ht="15.75" customHeight="1" x14ac:dyDescent="0.3">
      <c r="E121" s="306"/>
      <c r="F121" s="306"/>
      <c r="G121" s="306"/>
      <c r="H121" s="306"/>
      <c r="I121" s="306"/>
      <c r="J121" s="306"/>
      <c r="K121" s="306"/>
      <c r="L121" s="306"/>
    </row>
    <row r="122" spans="5:12" ht="15.75" customHeight="1" x14ac:dyDescent="0.3">
      <c r="E122" s="306"/>
      <c r="F122" s="306"/>
      <c r="G122" s="306"/>
      <c r="H122" s="306"/>
      <c r="I122" s="306"/>
      <c r="J122" s="306"/>
      <c r="K122" s="306"/>
      <c r="L122" s="306"/>
    </row>
    <row r="123" spans="5:12" ht="15.75" customHeight="1" x14ac:dyDescent="0.3">
      <c r="E123" s="306"/>
      <c r="F123" s="306"/>
      <c r="G123" s="306"/>
      <c r="H123" s="306"/>
      <c r="I123" s="306"/>
      <c r="J123" s="306"/>
      <c r="K123" s="306"/>
      <c r="L123" s="306"/>
    </row>
    <row r="124" spans="5:12" ht="15.75" customHeight="1" x14ac:dyDescent="0.3">
      <c r="E124" s="306"/>
      <c r="F124" s="306"/>
      <c r="G124" s="306"/>
      <c r="H124" s="306"/>
      <c r="I124" s="306"/>
      <c r="J124" s="306"/>
      <c r="K124" s="306"/>
      <c r="L124" s="306"/>
    </row>
    <row r="125" spans="5:12" ht="15.75" customHeight="1" x14ac:dyDescent="0.3">
      <c r="E125" s="306"/>
      <c r="F125" s="306"/>
      <c r="G125" s="306"/>
      <c r="H125" s="306"/>
      <c r="I125" s="306"/>
      <c r="J125" s="306"/>
      <c r="K125" s="306"/>
      <c r="L125" s="306"/>
    </row>
    <row r="126" spans="5:12" ht="15.75" customHeight="1" x14ac:dyDescent="0.3">
      <c r="E126" s="306"/>
      <c r="F126" s="306"/>
      <c r="G126" s="306"/>
      <c r="H126" s="306"/>
      <c r="I126" s="306"/>
      <c r="J126" s="306"/>
      <c r="K126" s="306"/>
      <c r="L126" s="306"/>
    </row>
    <row r="127" spans="5:12" ht="15.75" customHeight="1" x14ac:dyDescent="0.3">
      <c r="E127" s="306"/>
      <c r="F127" s="306"/>
      <c r="G127" s="306"/>
      <c r="H127" s="306"/>
      <c r="I127" s="306"/>
      <c r="J127" s="306"/>
      <c r="K127" s="306"/>
      <c r="L127" s="306"/>
    </row>
    <row r="128" spans="5:12" ht="15.75" customHeight="1" x14ac:dyDescent="0.3">
      <c r="E128" s="306"/>
      <c r="F128" s="306"/>
      <c r="G128" s="306"/>
      <c r="H128" s="306"/>
      <c r="I128" s="306"/>
      <c r="J128" s="306"/>
      <c r="K128" s="306"/>
      <c r="L128" s="306"/>
    </row>
    <row r="129" spans="5:12" ht="15.75" customHeight="1" x14ac:dyDescent="0.3">
      <c r="E129" s="306"/>
      <c r="F129" s="306"/>
      <c r="G129" s="306"/>
      <c r="H129" s="306"/>
      <c r="I129" s="306"/>
      <c r="J129" s="306"/>
      <c r="K129" s="306"/>
      <c r="L129" s="306"/>
    </row>
    <row r="130" spans="5:12" ht="15.75" customHeight="1" x14ac:dyDescent="0.3">
      <c r="E130" s="306"/>
      <c r="F130" s="306"/>
      <c r="G130" s="306"/>
      <c r="H130" s="306"/>
      <c r="I130" s="306"/>
      <c r="J130" s="306"/>
      <c r="K130" s="306"/>
      <c r="L130" s="306"/>
    </row>
    <row r="131" spans="5:12" ht="15.75" customHeight="1" x14ac:dyDescent="0.3">
      <c r="E131" s="306"/>
      <c r="F131" s="306"/>
      <c r="G131" s="306"/>
      <c r="H131" s="306"/>
      <c r="I131" s="306"/>
      <c r="J131" s="306"/>
      <c r="K131" s="306"/>
      <c r="L131" s="306"/>
    </row>
    <row r="132" spans="5:12" ht="15.75" customHeight="1" x14ac:dyDescent="0.3">
      <c r="E132" s="306"/>
      <c r="F132" s="306"/>
      <c r="G132" s="306"/>
      <c r="H132" s="306"/>
      <c r="I132" s="306"/>
      <c r="J132" s="306"/>
      <c r="K132" s="306"/>
      <c r="L132" s="306"/>
    </row>
    <row r="133" spans="5:12" ht="15.75" customHeight="1" x14ac:dyDescent="0.3">
      <c r="E133" s="306"/>
      <c r="F133" s="306"/>
      <c r="G133" s="306"/>
      <c r="H133" s="306"/>
      <c r="I133" s="306"/>
      <c r="J133" s="306"/>
      <c r="K133" s="306"/>
      <c r="L133" s="306"/>
    </row>
    <row r="134" spans="5:12" ht="15.75" customHeight="1" x14ac:dyDescent="0.3">
      <c r="E134" s="306"/>
      <c r="F134" s="306"/>
      <c r="G134" s="306"/>
      <c r="H134" s="306"/>
      <c r="I134" s="306"/>
      <c r="J134" s="306"/>
      <c r="K134" s="306"/>
      <c r="L134" s="306"/>
    </row>
    <row r="135" spans="5:12" ht="15.75" customHeight="1" x14ac:dyDescent="0.3">
      <c r="E135" s="306"/>
      <c r="F135" s="306"/>
      <c r="G135" s="306"/>
      <c r="H135" s="306"/>
      <c r="I135" s="306"/>
      <c r="J135" s="306"/>
      <c r="K135" s="306"/>
      <c r="L135" s="306"/>
    </row>
    <row r="136" spans="5:12" ht="15.75" customHeight="1" x14ac:dyDescent="0.3">
      <c r="E136" s="306"/>
      <c r="F136" s="306"/>
      <c r="G136" s="306"/>
      <c r="H136" s="306"/>
      <c r="I136" s="306"/>
      <c r="J136" s="306"/>
      <c r="K136" s="306"/>
      <c r="L136" s="306"/>
    </row>
    <row r="137" spans="5:12" ht="15.75" customHeight="1" x14ac:dyDescent="0.3">
      <c r="E137" s="306"/>
      <c r="F137" s="306"/>
      <c r="G137" s="306"/>
      <c r="H137" s="306"/>
      <c r="I137" s="306"/>
      <c r="J137" s="306"/>
      <c r="K137" s="306"/>
      <c r="L137" s="306"/>
    </row>
    <row r="138" spans="5:12" ht="15.75" customHeight="1" x14ac:dyDescent="0.3">
      <c r="E138" s="306"/>
      <c r="F138" s="306"/>
      <c r="G138" s="306"/>
      <c r="H138" s="306"/>
      <c r="I138" s="306"/>
      <c r="J138" s="306"/>
      <c r="K138" s="306"/>
      <c r="L138" s="306"/>
    </row>
    <row r="139" spans="5:12" ht="15.75" customHeight="1" x14ac:dyDescent="0.3">
      <c r="E139" s="306"/>
      <c r="F139" s="306"/>
      <c r="G139" s="306"/>
      <c r="H139" s="306"/>
      <c r="I139" s="306"/>
      <c r="J139" s="306"/>
      <c r="K139" s="306"/>
      <c r="L139" s="306"/>
    </row>
    <row r="140" spans="5:12" ht="15.75" customHeight="1" x14ac:dyDescent="0.3">
      <c r="E140" s="306"/>
      <c r="F140" s="306"/>
      <c r="G140" s="306"/>
      <c r="H140" s="306"/>
      <c r="I140" s="306"/>
      <c r="J140" s="306"/>
      <c r="K140" s="306"/>
      <c r="L140" s="306"/>
    </row>
    <row r="141" spans="5:12" ht="15.75" customHeight="1" x14ac:dyDescent="0.3">
      <c r="E141" s="306"/>
      <c r="F141" s="306"/>
      <c r="G141" s="306"/>
      <c r="H141" s="306"/>
      <c r="I141" s="306"/>
      <c r="J141" s="306"/>
      <c r="K141" s="306"/>
      <c r="L141" s="306"/>
    </row>
    <row r="142" spans="5:12" ht="15.75" customHeight="1" x14ac:dyDescent="0.3">
      <c r="E142" s="306"/>
      <c r="F142" s="306"/>
      <c r="G142" s="306"/>
      <c r="H142" s="306"/>
      <c r="I142" s="306"/>
      <c r="J142" s="306"/>
      <c r="K142" s="306"/>
      <c r="L142" s="306"/>
    </row>
    <row r="143" spans="5:12" ht="15.75" customHeight="1" x14ac:dyDescent="0.3">
      <c r="E143" s="306"/>
      <c r="F143" s="306"/>
      <c r="G143" s="306"/>
      <c r="H143" s="306"/>
      <c r="I143" s="306"/>
      <c r="J143" s="306"/>
      <c r="K143" s="306"/>
      <c r="L143" s="306"/>
    </row>
    <row r="144" spans="5:12" ht="15.75" customHeight="1" x14ac:dyDescent="0.3">
      <c r="E144" s="306"/>
      <c r="F144" s="306"/>
      <c r="G144" s="306"/>
      <c r="H144" s="306"/>
      <c r="I144" s="306"/>
      <c r="J144" s="306"/>
      <c r="K144" s="306"/>
      <c r="L144" s="306"/>
    </row>
    <row r="145" spans="5:12" ht="15.75" customHeight="1" x14ac:dyDescent="0.3">
      <c r="E145" s="306"/>
      <c r="F145" s="306"/>
      <c r="G145" s="306"/>
      <c r="H145" s="306"/>
      <c r="I145" s="306"/>
      <c r="J145" s="306"/>
      <c r="K145" s="306"/>
      <c r="L145" s="306"/>
    </row>
    <row r="146" spans="5:12" ht="15.75" customHeight="1" x14ac:dyDescent="0.3">
      <c r="E146" s="306"/>
      <c r="F146" s="306"/>
      <c r="G146" s="306"/>
      <c r="H146" s="306"/>
      <c r="I146" s="306"/>
      <c r="J146" s="306"/>
      <c r="K146" s="306"/>
      <c r="L146" s="306"/>
    </row>
    <row r="147" spans="5:12" ht="15.75" customHeight="1" x14ac:dyDescent="0.3">
      <c r="E147" s="306"/>
      <c r="F147" s="306"/>
      <c r="G147" s="306"/>
      <c r="H147" s="306"/>
      <c r="I147" s="306"/>
      <c r="J147" s="306"/>
      <c r="K147" s="306"/>
      <c r="L147" s="306"/>
    </row>
    <row r="148" spans="5:12" ht="15.75" customHeight="1" x14ac:dyDescent="0.3">
      <c r="E148" s="306"/>
      <c r="F148" s="306"/>
      <c r="G148" s="306"/>
      <c r="H148" s="306"/>
      <c r="I148" s="306"/>
      <c r="J148" s="306"/>
      <c r="K148" s="306"/>
      <c r="L148" s="306"/>
    </row>
    <row r="149" spans="5:12" ht="15.75" customHeight="1" x14ac:dyDescent="0.3">
      <c r="E149" s="306"/>
      <c r="F149" s="306"/>
      <c r="G149" s="306"/>
      <c r="H149" s="306"/>
      <c r="I149" s="306"/>
      <c r="J149" s="306"/>
      <c r="K149" s="306"/>
      <c r="L149" s="306"/>
    </row>
    <row r="150" spans="5:12" ht="15.75" customHeight="1" x14ac:dyDescent="0.3">
      <c r="E150" s="306"/>
      <c r="F150" s="306"/>
      <c r="G150" s="306"/>
      <c r="H150" s="306"/>
      <c r="I150" s="306"/>
      <c r="J150" s="306"/>
      <c r="K150" s="306"/>
      <c r="L150" s="306"/>
    </row>
    <row r="151" spans="5:12" ht="15.75" customHeight="1" x14ac:dyDescent="0.3">
      <c r="E151" s="306"/>
      <c r="F151" s="306"/>
      <c r="G151" s="306"/>
      <c r="H151" s="306"/>
      <c r="I151" s="306"/>
      <c r="J151" s="306"/>
      <c r="K151" s="306"/>
      <c r="L151" s="306"/>
    </row>
    <row r="152" spans="5:12" ht="15.75" customHeight="1" x14ac:dyDescent="0.3">
      <c r="E152" s="306"/>
      <c r="F152" s="306"/>
      <c r="G152" s="306"/>
      <c r="H152" s="306"/>
      <c r="I152" s="306"/>
      <c r="J152" s="306"/>
      <c r="K152" s="306"/>
      <c r="L152" s="306"/>
    </row>
    <row r="153" spans="5:12" ht="15.75" customHeight="1" x14ac:dyDescent="0.3">
      <c r="E153" s="306"/>
      <c r="F153" s="306"/>
      <c r="G153" s="306"/>
      <c r="H153" s="306"/>
      <c r="I153" s="306"/>
      <c r="J153" s="306"/>
      <c r="K153" s="306"/>
      <c r="L153" s="306"/>
    </row>
    <row r="154" spans="5:12" ht="15.75" customHeight="1" x14ac:dyDescent="0.3">
      <c r="E154" s="306"/>
      <c r="F154" s="306"/>
      <c r="G154" s="306"/>
      <c r="H154" s="306"/>
      <c r="I154" s="306"/>
      <c r="J154" s="306"/>
      <c r="K154" s="306"/>
      <c r="L154" s="306"/>
    </row>
    <row r="155" spans="5:12" ht="15.75" customHeight="1" x14ac:dyDescent="0.3">
      <c r="E155" s="306"/>
      <c r="F155" s="306"/>
      <c r="G155" s="306"/>
      <c r="H155" s="306"/>
      <c r="I155" s="306"/>
      <c r="J155" s="306"/>
      <c r="K155" s="306"/>
      <c r="L155" s="306"/>
    </row>
    <row r="156" spans="5:12" ht="15.75" customHeight="1" x14ac:dyDescent="0.3">
      <c r="E156" s="306"/>
      <c r="F156" s="306"/>
      <c r="G156" s="306"/>
      <c r="H156" s="306"/>
      <c r="I156" s="306"/>
      <c r="J156" s="306"/>
      <c r="K156" s="306"/>
      <c r="L156" s="306"/>
    </row>
    <row r="157" spans="5:12" ht="15.75" customHeight="1" x14ac:dyDescent="0.3">
      <c r="E157" s="306"/>
      <c r="F157" s="306"/>
      <c r="G157" s="306"/>
      <c r="H157" s="306"/>
      <c r="I157" s="306"/>
      <c r="J157" s="306"/>
      <c r="K157" s="306"/>
      <c r="L157" s="306"/>
    </row>
    <row r="158" spans="5:12" ht="15.75" customHeight="1" x14ac:dyDescent="0.3">
      <c r="E158" s="306"/>
      <c r="F158" s="306"/>
      <c r="G158" s="306"/>
      <c r="H158" s="306"/>
      <c r="I158" s="306"/>
      <c r="J158" s="306"/>
      <c r="K158" s="306"/>
      <c r="L158" s="306"/>
    </row>
    <row r="159" spans="5:12" ht="15.75" customHeight="1" x14ac:dyDescent="0.3">
      <c r="E159" s="306"/>
      <c r="F159" s="306"/>
      <c r="G159" s="306"/>
      <c r="H159" s="306"/>
      <c r="I159" s="306"/>
      <c r="J159" s="306"/>
      <c r="K159" s="306"/>
      <c r="L159" s="306"/>
    </row>
    <row r="160" spans="5:12" ht="15.75" customHeight="1" x14ac:dyDescent="0.3">
      <c r="E160" s="306"/>
      <c r="F160" s="306"/>
      <c r="G160" s="306"/>
      <c r="H160" s="306"/>
      <c r="I160" s="306"/>
      <c r="J160" s="306"/>
      <c r="K160" s="306"/>
      <c r="L160" s="306"/>
    </row>
    <row r="161" spans="5:12" ht="15.75" customHeight="1" x14ac:dyDescent="0.3">
      <c r="E161" s="306"/>
      <c r="F161" s="306"/>
      <c r="G161" s="306"/>
      <c r="H161" s="306"/>
      <c r="I161" s="306"/>
      <c r="J161" s="306"/>
      <c r="K161" s="306"/>
      <c r="L161" s="306"/>
    </row>
    <row r="162" spans="5:12" ht="15.75" customHeight="1" x14ac:dyDescent="0.3">
      <c r="E162" s="306"/>
      <c r="F162" s="306"/>
      <c r="G162" s="306"/>
      <c r="H162" s="306"/>
      <c r="I162" s="306"/>
      <c r="J162" s="306"/>
      <c r="K162" s="306"/>
      <c r="L162" s="306"/>
    </row>
    <row r="163" spans="5:12" ht="15.75" customHeight="1" x14ac:dyDescent="0.3">
      <c r="E163" s="306"/>
      <c r="F163" s="306"/>
      <c r="G163" s="306"/>
      <c r="H163" s="306"/>
      <c r="I163" s="306"/>
      <c r="J163" s="306"/>
      <c r="K163" s="306"/>
      <c r="L163" s="306"/>
    </row>
    <row r="164" spans="5:12" ht="15.75" customHeight="1" x14ac:dyDescent="0.3">
      <c r="E164" s="306"/>
      <c r="F164" s="306"/>
      <c r="G164" s="306"/>
      <c r="H164" s="306"/>
      <c r="I164" s="306"/>
      <c r="J164" s="306"/>
      <c r="K164" s="306"/>
      <c r="L164" s="306"/>
    </row>
    <row r="165" spans="5:12" ht="15.75" customHeight="1" x14ac:dyDescent="0.3">
      <c r="E165" s="306"/>
      <c r="F165" s="306"/>
      <c r="G165" s="306"/>
      <c r="H165" s="306"/>
      <c r="I165" s="306"/>
      <c r="J165" s="306"/>
      <c r="K165" s="306"/>
      <c r="L165" s="306"/>
    </row>
    <row r="166" spans="5:12" ht="15.75" customHeight="1" x14ac:dyDescent="0.3">
      <c r="E166" s="306"/>
      <c r="F166" s="306"/>
      <c r="G166" s="306"/>
      <c r="H166" s="306"/>
      <c r="I166" s="306"/>
      <c r="J166" s="306"/>
      <c r="K166" s="306"/>
      <c r="L166" s="306"/>
    </row>
    <row r="167" spans="5:12" ht="15.75" customHeight="1" x14ac:dyDescent="0.3">
      <c r="E167" s="306"/>
      <c r="F167" s="306"/>
      <c r="G167" s="306"/>
      <c r="H167" s="306"/>
      <c r="I167" s="306"/>
      <c r="J167" s="306"/>
      <c r="K167" s="306"/>
      <c r="L167" s="306"/>
    </row>
    <row r="168" spans="5:12" ht="15.75" customHeight="1" x14ac:dyDescent="0.3">
      <c r="E168" s="306"/>
      <c r="F168" s="306"/>
      <c r="G168" s="306"/>
      <c r="H168" s="306"/>
      <c r="I168" s="306"/>
      <c r="J168" s="306"/>
      <c r="K168" s="306"/>
      <c r="L168" s="306"/>
    </row>
    <row r="169" spans="5:12" ht="15.75" customHeight="1" x14ac:dyDescent="0.3">
      <c r="E169" s="306"/>
      <c r="F169" s="306"/>
      <c r="G169" s="306"/>
      <c r="H169" s="306"/>
      <c r="I169" s="306"/>
      <c r="J169" s="306"/>
      <c r="K169" s="306"/>
      <c r="L169" s="306"/>
    </row>
    <row r="170" spans="5:12" ht="15.75" customHeight="1" x14ac:dyDescent="0.3">
      <c r="E170" s="306"/>
      <c r="F170" s="306"/>
      <c r="G170" s="306"/>
      <c r="H170" s="306"/>
      <c r="I170" s="306"/>
      <c r="J170" s="306"/>
      <c r="K170" s="306"/>
      <c r="L170" s="306"/>
    </row>
    <row r="171" spans="5:12" ht="15.75" customHeight="1" x14ac:dyDescent="0.3">
      <c r="E171" s="306"/>
      <c r="F171" s="306"/>
      <c r="G171" s="306"/>
      <c r="H171" s="306"/>
      <c r="I171" s="306"/>
      <c r="J171" s="306"/>
      <c r="K171" s="306"/>
      <c r="L171" s="306"/>
    </row>
    <row r="172" spans="5:12" ht="15.75" customHeight="1" x14ac:dyDescent="0.3">
      <c r="E172" s="306"/>
      <c r="F172" s="306"/>
      <c r="G172" s="306"/>
      <c r="H172" s="306"/>
      <c r="I172" s="306"/>
      <c r="J172" s="306"/>
      <c r="K172" s="306"/>
      <c r="L172" s="306"/>
    </row>
    <row r="173" spans="5:12" ht="15.75" customHeight="1" x14ac:dyDescent="0.3">
      <c r="E173" s="306"/>
      <c r="F173" s="306"/>
      <c r="G173" s="306"/>
      <c r="H173" s="306"/>
      <c r="I173" s="306"/>
      <c r="J173" s="306"/>
      <c r="K173" s="306"/>
      <c r="L173" s="306"/>
    </row>
    <row r="174" spans="5:12" ht="15.75" customHeight="1" x14ac:dyDescent="0.3">
      <c r="E174" s="306"/>
      <c r="F174" s="306"/>
      <c r="G174" s="306"/>
      <c r="H174" s="306"/>
      <c r="I174" s="306"/>
      <c r="J174" s="306"/>
      <c r="K174" s="306"/>
      <c r="L174" s="306"/>
    </row>
    <row r="175" spans="5:12" ht="15.75" customHeight="1" x14ac:dyDescent="0.3">
      <c r="E175" s="306"/>
      <c r="F175" s="306"/>
      <c r="G175" s="306"/>
      <c r="H175" s="306"/>
      <c r="I175" s="306"/>
      <c r="J175" s="306"/>
      <c r="K175" s="306"/>
      <c r="L175" s="306"/>
    </row>
    <row r="176" spans="5:12" ht="15.75" customHeight="1" x14ac:dyDescent="0.3">
      <c r="E176" s="306"/>
      <c r="F176" s="306"/>
      <c r="G176" s="306"/>
      <c r="H176" s="306"/>
      <c r="I176" s="306"/>
      <c r="J176" s="306"/>
      <c r="K176" s="306"/>
      <c r="L176" s="306"/>
    </row>
    <row r="177" spans="5:12" ht="15.75" customHeight="1" x14ac:dyDescent="0.3">
      <c r="E177" s="306"/>
      <c r="F177" s="306"/>
      <c r="G177" s="306"/>
      <c r="H177" s="306"/>
      <c r="I177" s="306"/>
      <c r="J177" s="306"/>
      <c r="K177" s="306"/>
      <c r="L177" s="306"/>
    </row>
    <row r="178" spans="5:12" ht="15.75" customHeight="1" x14ac:dyDescent="0.3">
      <c r="E178" s="306"/>
      <c r="F178" s="306"/>
      <c r="G178" s="306"/>
      <c r="H178" s="306"/>
      <c r="I178" s="306"/>
      <c r="J178" s="306"/>
      <c r="K178" s="306"/>
      <c r="L178" s="306"/>
    </row>
    <row r="179" spans="5:12" ht="15.75" customHeight="1" x14ac:dyDescent="0.3">
      <c r="E179" s="306"/>
      <c r="F179" s="306"/>
      <c r="G179" s="306"/>
      <c r="H179" s="306"/>
      <c r="I179" s="306"/>
      <c r="J179" s="306"/>
      <c r="K179" s="306"/>
      <c r="L179" s="306"/>
    </row>
    <row r="180" spans="5:12" ht="15.75" customHeight="1" x14ac:dyDescent="0.3">
      <c r="E180" s="306"/>
      <c r="F180" s="306"/>
      <c r="G180" s="306"/>
      <c r="H180" s="306"/>
      <c r="I180" s="306"/>
      <c r="J180" s="306"/>
      <c r="K180" s="306"/>
      <c r="L180" s="306"/>
    </row>
    <row r="181" spans="5:12" ht="15.75" customHeight="1" x14ac:dyDescent="0.3">
      <c r="E181" s="306"/>
      <c r="F181" s="306"/>
      <c r="G181" s="306"/>
      <c r="H181" s="306"/>
      <c r="I181" s="306"/>
      <c r="J181" s="306"/>
      <c r="K181" s="306"/>
      <c r="L181" s="306"/>
    </row>
    <row r="182" spans="5:12" ht="15.75" customHeight="1" x14ac:dyDescent="0.3">
      <c r="E182" s="306"/>
      <c r="F182" s="306"/>
      <c r="G182" s="306"/>
      <c r="H182" s="306"/>
      <c r="I182" s="306"/>
      <c r="J182" s="306"/>
      <c r="K182" s="306"/>
      <c r="L182" s="306"/>
    </row>
    <row r="183" spans="5:12" ht="15.75" customHeight="1" x14ac:dyDescent="0.3">
      <c r="E183" s="306"/>
      <c r="F183" s="306"/>
      <c r="G183" s="306"/>
      <c r="H183" s="306"/>
      <c r="I183" s="306"/>
      <c r="J183" s="306"/>
      <c r="K183" s="306"/>
      <c r="L183" s="306"/>
    </row>
    <row r="184" spans="5:12" ht="15.75" customHeight="1" x14ac:dyDescent="0.3">
      <c r="E184" s="306"/>
      <c r="F184" s="306"/>
      <c r="G184" s="306"/>
      <c r="H184" s="306"/>
      <c r="I184" s="306"/>
      <c r="J184" s="306"/>
      <c r="K184" s="306"/>
      <c r="L184" s="306"/>
    </row>
    <row r="185" spans="5:12" ht="15.75" customHeight="1" x14ac:dyDescent="0.3">
      <c r="E185" s="306"/>
      <c r="F185" s="306"/>
      <c r="G185" s="306"/>
      <c r="H185" s="306"/>
      <c r="I185" s="306"/>
      <c r="J185" s="306"/>
      <c r="K185" s="306"/>
      <c r="L185" s="306"/>
    </row>
    <row r="186" spans="5:12" ht="15.75" customHeight="1" x14ac:dyDescent="0.3">
      <c r="E186" s="306"/>
      <c r="F186" s="306"/>
      <c r="G186" s="306"/>
      <c r="H186" s="306"/>
      <c r="I186" s="306"/>
      <c r="J186" s="306"/>
      <c r="K186" s="306"/>
      <c r="L186" s="306"/>
    </row>
    <row r="187" spans="5:12" ht="15.75" customHeight="1" x14ac:dyDescent="0.3">
      <c r="E187" s="306"/>
      <c r="F187" s="306"/>
      <c r="G187" s="306"/>
      <c r="H187" s="306"/>
      <c r="I187" s="306"/>
      <c r="J187" s="306"/>
      <c r="K187" s="306"/>
      <c r="L187" s="306"/>
    </row>
    <row r="188" spans="5:12" ht="15.75" customHeight="1" x14ac:dyDescent="0.3">
      <c r="E188" s="306"/>
      <c r="F188" s="306"/>
      <c r="G188" s="306"/>
      <c r="H188" s="306"/>
      <c r="I188" s="306"/>
      <c r="J188" s="306"/>
      <c r="K188" s="306"/>
      <c r="L188" s="306"/>
    </row>
    <row r="189" spans="5:12" ht="15.75" customHeight="1" x14ac:dyDescent="0.3">
      <c r="E189" s="306"/>
      <c r="F189" s="306"/>
      <c r="G189" s="306"/>
      <c r="H189" s="306"/>
      <c r="I189" s="306"/>
      <c r="J189" s="306"/>
      <c r="K189" s="306"/>
      <c r="L189" s="306"/>
    </row>
    <row r="190" spans="5:12" ht="15.75" customHeight="1" x14ac:dyDescent="0.3">
      <c r="E190" s="306"/>
      <c r="F190" s="306"/>
      <c r="G190" s="306"/>
      <c r="H190" s="306"/>
      <c r="I190" s="306"/>
      <c r="J190" s="306"/>
      <c r="K190" s="306"/>
      <c r="L190" s="306"/>
    </row>
    <row r="191" spans="5:12" ht="15.75" customHeight="1" x14ac:dyDescent="0.3">
      <c r="E191" s="306"/>
      <c r="F191" s="306"/>
      <c r="G191" s="306"/>
      <c r="H191" s="306"/>
      <c r="I191" s="306"/>
      <c r="J191" s="306"/>
      <c r="K191" s="306"/>
      <c r="L191" s="306"/>
    </row>
    <row r="192" spans="5:12" ht="15.75" customHeight="1" x14ac:dyDescent="0.3">
      <c r="E192" s="306"/>
      <c r="F192" s="306"/>
      <c r="G192" s="306"/>
      <c r="H192" s="306"/>
      <c r="I192" s="306"/>
      <c r="J192" s="306"/>
      <c r="K192" s="306"/>
      <c r="L192" s="306"/>
    </row>
    <row r="193" spans="5:12" ht="15.75" customHeight="1" x14ac:dyDescent="0.3">
      <c r="E193" s="306"/>
      <c r="F193" s="306"/>
      <c r="G193" s="306"/>
      <c r="H193" s="306"/>
      <c r="I193" s="306"/>
      <c r="J193" s="306"/>
      <c r="K193" s="306"/>
      <c r="L193" s="306"/>
    </row>
    <row r="194" spans="5:12" ht="15.75" customHeight="1" x14ac:dyDescent="0.3">
      <c r="E194" s="306"/>
      <c r="F194" s="306"/>
      <c r="G194" s="306"/>
      <c r="H194" s="306"/>
      <c r="I194" s="306"/>
      <c r="J194" s="306"/>
      <c r="K194" s="306"/>
      <c r="L194" s="306"/>
    </row>
    <row r="195" spans="5:12" ht="15.75" customHeight="1" x14ac:dyDescent="0.3">
      <c r="E195" s="306"/>
      <c r="F195" s="306"/>
      <c r="G195" s="306"/>
      <c r="H195" s="306"/>
      <c r="I195" s="306"/>
      <c r="J195" s="306"/>
      <c r="K195" s="306"/>
      <c r="L195" s="306"/>
    </row>
    <row r="196" spans="5:12" ht="15.75" customHeight="1" x14ac:dyDescent="0.3">
      <c r="E196" s="306"/>
      <c r="F196" s="306"/>
      <c r="G196" s="306"/>
      <c r="H196" s="306"/>
      <c r="I196" s="306"/>
      <c r="J196" s="306"/>
      <c r="K196" s="306"/>
      <c r="L196" s="306"/>
    </row>
    <row r="197" spans="5:12" ht="15.75" customHeight="1" x14ac:dyDescent="0.3">
      <c r="E197" s="306"/>
      <c r="F197" s="306"/>
      <c r="G197" s="306"/>
      <c r="H197" s="306"/>
      <c r="I197" s="306"/>
      <c r="J197" s="306"/>
      <c r="K197" s="306"/>
      <c r="L197" s="306"/>
    </row>
    <row r="198" spans="5:12" ht="15.75" customHeight="1" x14ac:dyDescent="0.3">
      <c r="E198" s="306"/>
      <c r="F198" s="306"/>
      <c r="G198" s="306"/>
      <c r="H198" s="306"/>
      <c r="I198" s="306"/>
      <c r="J198" s="306"/>
      <c r="K198" s="306"/>
      <c r="L198" s="306"/>
    </row>
    <row r="199" spans="5:12" ht="15.75" customHeight="1" x14ac:dyDescent="0.3">
      <c r="E199" s="306"/>
      <c r="F199" s="306"/>
      <c r="G199" s="306"/>
      <c r="H199" s="306"/>
      <c r="I199" s="306"/>
      <c r="J199" s="306"/>
      <c r="K199" s="306"/>
      <c r="L199" s="306"/>
    </row>
    <row r="200" spans="5:12" ht="15.75" customHeight="1" x14ac:dyDescent="0.3">
      <c r="E200" s="306"/>
      <c r="F200" s="306"/>
      <c r="G200" s="306"/>
      <c r="H200" s="306"/>
      <c r="I200" s="306"/>
      <c r="J200" s="306"/>
      <c r="K200" s="306"/>
      <c r="L200" s="306"/>
    </row>
    <row r="201" spans="5:12" ht="15.75" customHeight="1" x14ac:dyDescent="0.3">
      <c r="E201" s="306"/>
      <c r="F201" s="306"/>
      <c r="G201" s="306"/>
      <c r="H201" s="306"/>
      <c r="I201" s="306"/>
      <c r="J201" s="306"/>
      <c r="K201" s="306"/>
      <c r="L201" s="306"/>
    </row>
    <row r="202" spans="5:12" ht="15.75" customHeight="1" x14ac:dyDescent="0.3">
      <c r="E202" s="306"/>
      <c r="F202" s="306"/>
      <c r="G202" s="306"/>
      <c r="H202" s="306"/>
      <c r="I202" s="306"/>
      <c r="J202" s="306"/>
      <c r="K202" s="306"/>
      <c r="L202" s="306"/>
    </row>
    <row r="203" spans="5:12" ht="15.75" customHeight="1" x14ac:dyDescent="0.3">
      <c r="E203" s="306"/>
      <c r="F203" s="306"/>
      <c r="G203" s="306"/>
      <c r="H203" s="306"/>
      <c r="I203" s="306"/>
      <c r="J203" s="306"/>
      <c r="K203" s="306"/>
      <c r="L203" s="306"/>
    </row>
    <row r="204" spans="5:12" ht="15.75" customHeight="1" x14ac:dyDescent="0.3">
      <c r="E204" s="306"/>
      <c r="F204" s="306"/>
      <c r="G204" s="306"/>
      <c r="H204" s="306"/>
      <c r="I204" s="306"/>
      <c r="J204" s="306"/>
      <c r="K204" s="306"/>
      <c r="L204" s="306"/>
    </row>
    <row r="205" spans="5:12" ht="15.75" customHeight="1" x14ac:dyDescent="0.3">
      <c r="E205" s="306"/>
      <c r="F205" s="306"/>
      <c r="G205" s="306"/>
      <c r="H205" s="306"/>
      <c r="I205" s="306"/>
      <c r="J205" s="306"/>
      <c r="K205" s="306"/>
      <c r="L205" s="306"/>
    </row>
    <row r="206" spans="5:12" ht="15.75" customHeight="1" x14ac:dyDescent="0.3">
      <c r="E206" s="306"/>
      <c r="F206" s="306"/>
      <c r="G206" s="306"/>
      <c r="H206" s="306"/>
      <c r="I206" s="306"/>
      <c r="J206" s="306"/>
      <c r="K206" s="306"/>
      <c r="L206" s="306"/>
    </row>
    <row r="207" spans="5:12" ht="15.75" customHeight="1" x14ac:dyDescent="0.3">
      <c r="E207" s="306"/>
      <c r="F207" s="306"/>
      <c r="G207" s="306"/>
      <c r="H207" s="306"/>
      <c r="I207" s="306"/>
      <c r="J207" s="306"/>
      <c r="K207" s="306"/>
      <c r="L207" s="306"/>
    </row>
    <row r="208" spans="5:12" ht="15.75" customHeight="1" x14ac:dyDescent="0.3">
      <c r="E208" s="306"/>
      <c r="F208" s="306"/>
      <c r="G208" s="306"/>
      <c r="H208" s="306"/>
      <c r="I208" s="306"/>
      <c r="J208" s="306"/>
      <c r="K208" s="306"/>
      <c r="L208" s="306"/>
    </row>
    <row r="209" spans="5:12" ht="15.75" customHeight="1" x14ac:dyDescent="0.3">
      <c r="E209" s="306"/>
      <c r="F209" s="306"/>
      <c r="G209" s="306"/>
      <c r="H209" s="306"/>
      <c r="I209" s="306"/>
      <c r="J209" s="306"/>
      <c r="K209" s="306"/>
      <c r="L209" s="306"/>
    </row>
    <row r="210" spans="5:12" ht="15.75" customHeight="1" x14ac:dyDescent="0.3">
      <c r="E210" s="306"/>
      <c r="F210" s="306"/>
      <c r="G210" s="306"/>
      <c r="H210" s="306"/>
      <c r="I210" s="306"/>
      <c r="J210" s="306"/>
      <c r="K210" s="306"/>
      <c r="L210" s="306"/>
    </row>
    <row r="211" spans="5:12" ht="15.75" customHeight="1" x14ac:dyDescent="0.3">
      <c r="E211" s="306"/>
      <c r="F211" s="306"/>
      <c r="G211" s="306"/>
      <c r="H211" s="306"/>
      <c r="I211" s="306"/>
      <c r="J211" s="306"/>
      <c r="K211" s="306"/>
      <c r="L211" s="306"/>
    </row>
    <row r="212" spans="5:12" ht="15.75" customHeight="1" x14ac:dyDescent="0.3">
      <c r="E212" s="306"/>
      <c r="F212" s="306"/>
      <c r="G212" s="306"/>
      <c r="H212" s="306"/>
      <c r="I212" s="306"/>
      <c r="J212" s="306"/>
      <c r="K212" s="306"/>
      <c r="L212" s="306"/>
    </row>
    <row r="213" spans="5:12" ht="15.75" customHeight="1" x14ac:dyDescent="0.3">
      <c r="E213" s="306"/>
      <c r="F213" s="306"/>
      <c r="G213" s="306"/>
      <c r="H213" s="306"/>
      <c r="I213" s="306"/>
      <c r="J213" s="306"/>
      <c r="K213" s="306"/>
      <c r="L213" s="306"/>
    </row>
    <row r="214" spans="5:12" ht="15.75" customHeight="1" x14ac:dyDescent="0.3">
      <c r="E214" s="306"/>
      <c r="F214" s="306"/>
      <c r="G214" s="306"/>
      <c r="H214" s="306"/>
      <c r="I214" s="306"/>
      <c r="J214" s="306"/>
      <c r="K214" s="306"/>
      <c r="L214" s="306"/>
    </row>
    <row r="215" spans="5:12" ht="15.75" customHeight="1" x14ac:dyDescent="0.3">
      <c r="E215" s="306"/>
      <c r="F215" s="306"/>
      <c r="G215" s="306"/>
      <c r="H215" s="306"/>
      <c r="I215" s="306"/>
      <c r="J215" s="306"/>
      <c r="K215" s="306"/>
      <c r="L215" s="306"/>
    </row>
    <row r="216" spans="5:12" ht="15.75" customHeight="1" x14ac:dyDescent="0.3">
      <c r="E216" s="306"/>
      <c r="F216" s="306"/>
      <c r="G216" s="306"/>
      <c r="H216" s="306"/>
      <c r="I216" s="306"/>
      <c r="J216" s="306"/>
      <c r="K216" s="306"/>
      <c r="L216" s="306"/>
    </row>
    <row r="217" spans="5:12" ht="15.75" customHeight="1" x14ac:dyDescent="0.3">
      <c r="E217" s="306"/>
      <c r="F217" s="306"/>
      <c r="G217" s="306"/>
      <c r="H217" s="306"/>
      <c r="I217" s="306"/>
      <c r="J217" s="306"/>
      <c r="K217" s="306"/>
      <c r="L217" s="306"/>
    </row>
    <row r="218" spans="5:12" ht="15.75" customHeight="1" x14ac:dyDescent="0.3">
      <c r="E218" s="306"/>
      <c r="F218" s="306"/>
      <c r="G218" s="306"/>
      <c r="H218" s="306"/>
      <c r="I218" s="306"/>
      <c r="J218" s="306"/>
      <c r="K218" s="306"/>
      <c r="L218" s="306"/>
    </row>
    <row r="219" spans="5:12" ht="15.75" customHeight="1" x14ac:dyDescent="0.3">
      <c r="E219" s="306"/>
      <c r="F219" s="306"/>
      <c r="G219" s="306"/>
      <c r="H219" s="306"/>
      <c r="I219" s="306"/>
      <c r="J219" s="306"/>
      <c r="K219" s="306"/>
      <c r="L219" s="306"/>
    </row>
    <row r="220" spans="5:12" ht="15.75" customHeight="1" x14ac:dyDescent="0.3">
      <c r="E220" s="306"/>
      <c r="F220" s="306"/>
      <c r="G220" s="306"/>
      <c r="H220" s="306"/>
      <c r="I220" s="306"/>
      <c r="J220" s="306"/>
      <c r="K220" s="306"/>
      <c r="L220" s="306"/>
    </row>
    <row r="221" spans="5:12" ht="15.75" customHeight="1" x14ac:dyDescent="0.3">
      <c r="E221" s="306"/>
      <c r="F221" s="306"/>
      <c r="G221" s="306"/>
      <c r="H221" s="306"/>
      <c r="I221" s="306"/>
      <c r="J221" s="306"/>
      <c r="K221" s="306"/>
      <c r="L221" s="306"/>
    </row>
    <row r="222" spans="5:12" ht="15.75" customHeight="1" x14ac:dyDescent="0.3">
      <c r="E222" s="306"/>
      <c r="F222" s="306"/>
      <c r="G222" s="306"/>
      <c r="H222" s="306"/>
      <c r="I222" s="306"/>
      <c r="J222" s="306"/>
      <c r="K222" s="306"/>
      <c r="L222" s="306"/>
    </row>
    <row r="223" spans="5:12" ht="15.75" customHeight="1" x14ac:dyDescent="0.3">
      <c r="E223" s="306"/>
      <c r="F223" s="306"/>
      <c r="G223" s="306"/>
      <c r="H223" s="306"/>
      <c r="I223" s="306"/>
      <c r="J223" s="306"/>
      <c r="K223" s="306"/>
      <c r="L223" s="306"/>
    </row>
    <row r="224" spans="5:12" ht="15.75" customHeight="1" x14ac:dyDescent="0.3">
      <c r="E224" s="306"/>
      <c r="F224" s="306"/>
      <c r="G224" s="306"/>
      <c r="H224" s="306"/>
      <c r="I224" s="306"/>
      <c r="J224" s="306"/>
      <c r="K224" s="306"/>
      <c r="L224" s="306"/>
    </row>
  </sheetData>
  <phoneticPr fontId="97" type="noConversion"/>
  <conditionalFormatting sqref="G11:G1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{EC6F6554-68C3-41B1-A284-2B6706B2A9DA}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6F6554-68C3-41B1-A284-2B6706B2A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G11:G13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Hands On - Example</vt:lpstr>
      <vt:lpstr>Hands-On</vt:lpstr>
      <vt:lpstr>All Star Player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Magasa Faiz</cp:lastModifiedBy>
  <dcterms:modified xsi:type="dcterms:W3CDTF">2025-10-18T17:04:24Z</dcterms:modified>
</cp:coreProperties>
</file>